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
    </mc:Choice>
  </mc:AlternateContent>
  <bookViews>
    <workbookView xWindow="0" yWindow="460" windowWidth="25600" windowHeight="14140" activeTab="3"/>
  </bookViews>
  <sheets>
    <sheet name="Intro" sheetId="7" r:id="rId1"/>
    <sheet name="Product Backlog" sheetId="1" r:id="rId2"/>
    <sheet name="Sprint 1" sheetId="4" r:id="rId3"/>
    <sheet name="Sprint 2" sheetId="9" r:id="rId4"/>
    <sheet name="system sheet" sheetId="5" r:id="rId5"/>
  </sheets>
  <externalReferences>
    <externalReference r:id="rId6"/>
  </externalReferences>
  <definedNames>
    <definedName name="_xlnm._FilterDatabase" localSheetId="1" hidden="1">'Product Backlog'!$B$4:$G$40</definedName>
    <definedName name="_xlnm._FilterDatabase" localSheetId="2" hidden="1">'Sprint 1'!$A$6:$E$38</definedName>
    <definedName name="_xlnm._FilterDatabase" localSheetId="3" hidden="1">'Sprint 2'!$A$6:$D$16</definedName>
    <definedName name="_xlnm.Print_Area" localSheetId="2">'Sprint 1'!$A$1:$N$37</definedName>
    <definedName name="_xlnm.Print_Area" localSheetId="3">'Sprint 2'!$A$1:$N$15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17" i="9" l="1"/>
  <c r="I17" i="9"/>
  <c r="H17" i="9"/>
  <c r="G17" i="9"/>
  <c r="F17" i="9"/>
  <c r="E17" i="9"/>
  <c r="J16" i="9"/>
  <c r="I16" i="9"/>
  <c r="H16" i="9"/>
  <c r="G16" i="9"/>
  <c r="F16" i="9"/>
  <c r="E16" i="9"/>
  <c r="D16" i="9"/>
  <c r="D3" i="9"/>
  <c r="D38" i="4"/>
  <c r="E38" i="4"/>
  <c r="F38" i="4"/>
  <c r="G38" i="4"/>
  <c r="H38" i="4"/>
  <c r="I38" i="4"/>
  <c r="J38" i="4"/>
  <c r="K38" i="4"/>
  <c r="L38" i="4"/>
  <c r="M38" i="4"/>
  <c r="N38" i="4"/>
  <c r="D3" i="4"/>
  <c r="C6" i="5"/>
  <c r="C10" i="5"/>
  <c r="E39" i="4"/>
  <c r="D10" i="5"/>
  <c r="F39" i="4"/>
  <c r="E10" i="5"/>
  <c r="G39" i="4"/>
  <c r="F10" i="5"/>
  <c r="H39" i="4"/>
  <c r="G10" i="5"/>
  <c r="I39" i="4"/>
  <c r="H10" i="5"/>
  <c r="J39" i="4"/>
  <c r="I10" i="5"/>
  <c r="K39" i="4"/>
  <c r="J10" i="5"/>
  <c r="L39" i="4"/>
  <c r="K10" i="5"/>
  <c r="M39" i="4"/>
  <c r="L10" i="5"/>
  <c r="N39" i="4"/>
  <c r="D6" i="5"/>
  <c r="B2" i="1"/>
  <c r="E11" i="5"/>
  <c r="I11" i="5"/>
  <c r="C11" i="5"/>
  <c r="F11" i="5"/>
  <c r="J11" i="5"/>
  <c r="G11" i="5"/>
  <c r="K11" i="5"/>
  <c r="D11" i="5"/>
  <c r="H11" i="5"/>
  <c r="L11" i="5"/>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38" authorId="1">
      <text>
        <r>
          <rPr>
            <b/>
            <sz val="8"/>
            <color indexed="81"/>
            <rFont val="Tahoma"/>
          </rPr>
          <t>nicolas.martignole:</t>
        </r>
        <r>
          <rPr>
            <sz val="8"/>
            <color indexed="81"/>
            <rFont val="Tahoma"/>
          </rPr>
          <t xml:space="preserve">
Initial total of Scrum units
</t>
        </r>
      </text>
    </comment>
    <comment ref="E39"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6" authorId="1">
      <text>
        <r>
          <rPr>
            <b/>
            <sz val="8"/>
            <color indexed="81"/>
            <rFont val="Tahoma"/>
          </rPr>
          <t>nicolas.martignole:</t>
        </r>
        <r>
          <rPr>
            <sz val="8"/>
            <color indexed="81"/>
            <rFont val="Tahoma"/>
          </rPr>
          <t xml:space="preserve">
Initial total of Scrum units
</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<sst xmlns="http://schemas.openxmlformats.org/spreadsheetml/2006/main" count="276" uniqueCount="191">
  <si>
    <t>User story</t>
  </si>
  <si>
    <t>JIRA Id</t>
  </si>
  <si>
    <t>ID</t>
  </si>
  <si>
    <t>Known X</t>
  </si>
  <si>
    <t>Sprint 3</t>
  </si>
  <si>
    <t>Sprint 4</t>
  </si>
  <si>
    <t>Sprint 5</t>
  </si>
  <si>
    <t>Sprint 6</t>
  </si>
  <si>
    <t>Restant fin</t>
  </si>
  <si>
    <t>Sprint 1</t>
  </si>
  <si>
    <t>Sprint 2</t>
  </si>
  <si>
    <t>Product Backlog</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</si>
  <si>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</si>
  <si>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</si>
  <si>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</si>
  <si>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</si>
  <si>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</si>
  <si>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</si>
  <si>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</si>
  <si>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</si>
  <si>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</si>
  <si>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</si>
  <si>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</si>
  <si>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</si>
  <si>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</si>
  <si>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</si>
  <si>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</si>
  <si>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</si>
  <si>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</si>
  <si>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</si>
  <si>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</si>
  <si>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</si>
  <si>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</si>
  <si>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</si>
  <si>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</si>
  <si>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</si>
  <si>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</si>
  <si>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</si>
  <si>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</si>
  <si>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</si>
  <si>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</si>
  <si>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</si>
  <si>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</si>
  <si>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</si>
  <si>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</si>
  <si>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</si>
  <si>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</si>
  <si>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</si>
  <si>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</si>
  <si>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</si>
  <si>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</si>
  <si>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</si>
  <si>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</si>
  <si>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</si>
  <si>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</si>
  <si>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</si>
  <si>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</si>
  <si>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</si>
  <si>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</si>
  <si>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</si>
  <si>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</si>
  <si>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</si>
  <si>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</si>
  <si>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</si>
  <si>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</si>
  <si>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</si>
  <si>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</si>
  <si>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</si>
  <si>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</si>
  <si>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</si>
  <si>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</si>
  <si>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</si>
  <si>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</si>
  <si>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</si>
  <si>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</si>
  <si>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</si>
  <si>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</si>
  <si>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</si>
  <si>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</si>
  <si>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</si>
  <si>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</si>
  <si>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</si>
  <si>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</si>
  <si>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</si>
  <si>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</si>
  <si>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</si>
  <si>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</si>
  <si>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</si>
  <si>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</si>
  <si>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</si>
  <si>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</si>
  <si>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</si>
  <si>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</si>
  <si>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</si>
  <si>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</si>
  <si>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</si>
  <si>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</si>
  <si>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</si>
  <si>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</si>
  <si>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</si>
  <si>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</si>
  <si>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</si>
  <si>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</si>
  <si>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</si>
  <si>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</si>
  <si>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</si>
  <si>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</si>
  <si>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</si>
  <si>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</si>
  <si>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</si>
  <si>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</si>
  <si>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</si>
  <si>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</si>
  <si>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</si>
  <si>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</si>
  <si>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</si>
  <si>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</si>
  <si>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</si>
  <si>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</si>
  <si>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</si>
  <si>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</si>
  <si>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</si>
  <si>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</si>
  <si>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</si>
  <si>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</si>
  <si>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</si>
  <si>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</si>
  <si>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</si>
  <si>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</si>
  <si>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</si>
  <si>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</si>
  <si>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</si>
  <si>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</si>
  <si>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</si>
  <si>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</si>
  <si>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</si>
  <si>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</si>
  <si>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</si>
  <si>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</si>
  <si>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</si>
  <si>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</si>
  <si>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</si>
  <si>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</si>
  <si>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</si>
  <si>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</si>
  <si>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</si>
  <si>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</si>
  <si>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</si>
  <si>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</si>
  <si>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</si>
  <si>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</si>
  <si>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</si>
  <si>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</si>
  <si>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</si>
  <si>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</si>
  <si>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</si>
  <si>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</si>
  <si>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</si>
  <si>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</si>
  <si>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</si>
  <si>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</si>
  <si>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</si>
  <si>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</si>
  <si>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</si>
  <si>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</si>
  <si>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</si>
  <si>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</si>
  <si>
    <t>Contribution au début du product backlog (12 premiers user story)</t>
  </si>
  <si>
    <t>Élaboration de la charte graphique</t>
  </si>
  <si>
    <t>12</t>
  </si>
  <si>
    <t>11</t>
  </si>
  <si>
    <t>Intégration html/css login</t>
  </si>
  <si>
    <t>Contribution à la charte graphique</t>
  </si>
  <si>
    <t>1</t>
  </si>
  <si>
    <t>Diagramme entité/relation (MCD/MPD)</t>
  </si>
  <si>
    <t>3</t>
  </si>
  <si>
    <t>Création des tables et de la BD et requêtes</t>
  </si>
  <si>
    <t>5</t>
  </si>
  <si>
    <t>Contribution à l'intégration html/css de l'inscription/connexion</t>
  </si>
  <si>
    <t>Contribution à l'intégration html/css de l'espace utilisateur</t>
  </si>
  <si>
    <t>17</t>
  </si>
  <si>
    <t>Creation du quiz</t>
  </si>
  <si>
    <t>Validation du quiz</t>
  </si>
  <si>
    <t>22</t>
  </si>
  <si>
    <t>Systeme de notification AJAX pour les publications</t>
  </si>
  <si>
    <t>Rendre le site adaptatif (desktop, portable, tablette et cellulaire portrait)</t>
  </si>
  <si>
    <t>Preparation des differents menus</t>
  </si>
  <si>
    <t>Organisation des differents espaces(tutorats,astuces,mur,mes amis)</t>
  </si>
  <si>
    <t>Effectuer des tests</t>
  </si>
  <si>
    <t>16</t>
  </si>
  <si>
    <t>Gestion de l'amitié(ajouter,accepter,refuser,retirer)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</si>
</sst>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
      <u/>
      <sz val="8"/>
      <color rgb="FF0000FF"/>
      <name val="Arial"/>
      <family val="2"/>
      <charset val="1"/>
    </font>
    <font>
      <b/>
      <sz val="7"/>
      <color rgb="FF3366FF"/>
      <name val="Arial"/>
      <family val="2"/>
      <charset val="1"/>
    </font>
    <font>
      <b/>
      <sz val="10"/>
      <color rgb="FF3366FF"/>
      <name val="Arial"/>
      <family val="2"/>
      <charset val="1"/>
    </font>
    <font>
      <b/>
      <sz val="8"/>
      <color rgb="FF3366FF"/>
      <name val="Arial"/>
      <family val="2"/>
      <charset val="1"/>
    </font>
  </fonts>
  <fills count="10">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rgb="FFFFFFFF"/>
        <bgColor rgb="FFFFFFCC"/>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0">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2" fontId="0" fillId="0" borderId="0" xfId="0" applyNumberFormat="1" applyFill="1" applyBorder="1" applyAlignment="1">
      <alignment horizontal="center"/>
    </xf>
    <xf numFmtId="49" fontId="0" fillId="0" borderId="0" xfId="0" applyNumberFormat="1" applyBorder="1" applyAlignment="1">
      <alignment vertical="top" wrapText="1"/>
    </xf>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5" borderId="1"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67" fontId="11" fillId="5" borderId="2" xfId="0" applyNumberFormat="1" applyFont="1" applyFill="1" applyBorder="1" applyAlignment="1">
      <alignment horizontal="center" wrapText="1"/>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49" fontId="34" fillId="9" borderId="13" xfId="1" applyNumberFormat="1" applyFont="1" applyFill="1" applyBorder="1" applyAlignment="1" applyProtection="1">
      <alignment horizontal="center" vertical="center"/>
    </xf>
    <xf numFmtId="0" fontId="35" fillId="9" borderId="6" xfId="0" applyFont="1" applyFill="1" applyBorder="1" applyAlignment="1">
      <alignment horizontal="left" vertical="top" wrapText="1"/>
    </xf>
    <xf numFmtId="1" fontId="36" fillId="9" borderId="6" xfId="0" applyNumberFormat="1" applyFont="1" applyFill="1" applyBorder="1" applyAlignment="1">
      <alignment horizontal="center" vertical="top" wrapText="1"/>
    </xf>
    <xf numFmtId="1" fontId="4" fillId="9" borderId="1" xfId="0" applyNumberFormat="1" applyFont="1" applyFill="1" applyBorder="1" applyAlignment="1">
      <alignment horizontal="center" vertical="center" wrapText="1"/>
    </xf>
    <xf numFmtId="1" fontId="1" fillId="9" borderId="1" xfId="0" applyNumberFormat="1" applyFont="1" applyFill="1" applyBorder="1" applyAlignment="1">
      <alignment horizontal="center" vertical="center"/>
    </xf>
    <xf numFmtId="49" fontId="34" fillId="9" borderId="1" xfId="1" applyNumberFormat="1" applyFont="1" applyFill="1" applyBorder="1" applyAlignment="1" applyProtection="1">
      <alignment horizontal="center" vertical="center"/>
    </xf>
    <xf numFmtId="0" fontId="37" fillId="9" borderId="6" xfId="0" applyFont="1" applyFill="1" applyBorder="1" applyAlignment="1">
      <alignment horizontal="left" vertical="top" wrapText="1"/>
    </xf>
    <xf numFmtId="1" fontId="36" fillId="9" borderId="11" xfId="0" applyNumberFormat="1" applyFont="1" applyFill="1" applyBorder="1" applyAlignment="1">
      <alignment horizontal="center" vertical="top" wrapText="1"/>
    </xf>
    <xf numFmtId="0" fontId="37" fillId="9" borderId="1" xfId="0" applyFont="1" applyFill="1" applyBorder="1" applyAlignment="1">
      <alignment horizontal="left" vertical="top" wrapText="1"/>
    </xf>
    <xf numFmtId="0" fontId="1" fillId="0" borderId="1" xfId="0" applyFont="1" applyBorder="1" applyAlignment="1">
      <alignment horizontal="center" vertical="center"/>
    </xf>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xf numFmtId="0" fontId="2" fillId="5" borderId="0" xfId="0" applyFont="1" applyFill="1" applyAlignment="1">
      <alignment horizontal="right"/>
    </xf>
    <xf numFmtId="164" fontId="1" fillId="5" borderId="0" xfId="0" applyNumberFormat="1" applyFont="1" applyFill="1"/>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1'!$E$38:$N$38</c:f>
              <c:numCache>
                <c:formatCode>0</c:formatCode>
                <c:ptCount val="10"/>
                <c:pt idx="0">
                  <c:v>146.0</c:v>
                </c:pt>
                <c:pt idx="1">
                  <c:v>127.0</c:v>
                </c:pt>
                <c:pt idx="2">
                  <c:v>111.0</c:v>
                </c:pt>
                <c:pt idx="3">
                  <c:v>94.0</c:v>
                </c:pt>
                <c:pt idx="4">
                  <c:v>75.0</c:v>
                </c:pt>
                <c:pt idx="5">
                  <c:v>53.0</c:v>
                </c:pt>
                <c:pt idx="6">
                  <c:v>40.0</c:v>
                </c:pt>
                <c:pt idx="7">
                  <c:v>17.0</c:v>
                </c:pt>
                <c:pt idx="8">
                  <c:v>5.0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1'!$E$39:$N$39</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1459549232"/>
        <c:axId val="1459551936"/>
      </c:lineChart>
      <c:catAx>
        <c:axId val="145954923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9551936"/>
        <c:crosses val="autoZero"/>
        <c:auto val="0"/>
        <c:lblAlgn val="ctr"/>
        <c:lblOffset val="100"/>
        <c:tickLblSkip val="1"/>
        <c:tickMarkSkip val="1"/>
        <c:noMultiLvlLbl val="0"/>
      </c:catAx>
      <c:valAx>
        <c:axId val="145955193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954923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2</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2'!$E$16:$J$16</c:f>
              <c:numCache>
                <c:formatCode>0</c:formatCode>
                <c:ptCount val="6"/>
                <c:pt idx="0">
                  <c:v>81.0</c:v>
                </c:pt>
                <c:pt idx="1">
                  <c:v>73.0</c:v>
                </c:pt>
                <c:pt idx="2">
                  <c:v>63.0</c:v>
                </c:pt>
                <c:pt idx="3">
                  <c:v>48.0</c:v>
                </c:pt>
                <c:pt idx="4">
                  <c:v>24.0</c:v>
                </c:pt>
                <c:pt idx="5">
                  <c:v>0.0</c:v>
                </c:pt>
              </c:numCache>
            </c:numRef>
          </c:val>
          <c:smooth val="1"/>
          <c:extLst xmlns:c16r2="http://schemas.microsoft.com/office/drawing/2015/06/chart">
            <c:ext xmlns:c16="http://schemas.microsoft.com/office/drawing/2014/chart" uri="{C3380CC4-5D6E-409C-BE32-E72D297353CC}">
              <c16:uniqueId val="{00000000-7538-4138-BF5B-329E38C2BD04}"/>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2'!$E$17:$J$17</c:f>
              <c:numCache>
                <c:formatCode>0.0</c:formatCode>
                <c:ptCount val="6"/>
                <c:pt idx="0">
                  <c:v>84.44444444444444</c:v>
                </c:pt>
                <c:pt idx="1">
                  <c:v>67.55555555555556</c:v>
                </c:pt>
                <c:pt idx="2">
                  <c:v>50.66666666666666</c:v>
                </c:pt>
                <c:pt idx="3">
                  <c:v>33.77777777777777</c:v>
                </c:pt>
                <c:pt idx="4">
                  <c:v>16.88888888888889</c:v>
                </c:pt>
                <c:pt idx="5">
                  <c:v>0.0</c:v>
                </c:pt>
              </c:numCache>
            </c:numRef>
          </c:val>
          <c:smooth val="1"/>
          <c:extLst xmlns:c16r2="http://schemas.microsoft.com/office/drawing/2015/06/chart">
            <c:ext xmlns:c16="http://schemas.microsoft.com/office/drawing/2014/chart" uri="{C3380CC4-5D6E-409C-BE32-E72D297353CC}">
              <c16:uniqueId val="{00000001-7538-4138-BF5B-329E38C2BD04}"/>
            </c:ext>
          </c:extLst>
        </c:ser>
        <c:dLbls>
          <c:showLegendKey val="0"/>
          <c:showVal val="0"/>
          <c:showCatName val="0"/>
          <c:showSerName val="0"/>
          <c:showPercent val="0"/>
          <c:showBubbleSize val="0"/>
        </c:dLbls>
        <c:marker val="1"/>
        <c:smooth val="0"/>
        <c:axId val="1458226752"/>
        <c:axId val="1458253616"/>
      </c:lineChart>
      <c:catAx>
        <c:axId val="145822675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8253616"/>
        <c:crosses val="autoZero"/>
        <c:auto val="0"/>
        <c:lblAlgn val="ctr"/>
        <c:lblOffset val="100"/>
        <c:tickLblSkip val="1"/>
        <c:tickMarkSkip val="1"/>
        <c:noMultiLvlLbl val="0"/>
      </c:catAx>
      <c:valAx>
        <c:axId val="145825361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45822675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39</xdr:row>
      <xdr:rowOff>152400</xdr:rowOff>
    </xdr:from>
    <xdr:to>
      <xdr:col>8</xdr:col>
      <xdr:colOff>447675</xdr:colOff>
      <xdr:row>61</xdr:row>
      <xdr:rowOff>133350</xdr:rowOff>
    </xdr:to>
    <xdr:graphicFrame macro="">
      <xdr:nvGraphicFramePr>
        <xdr:cNvPr id="2063" name="Graphique 9">
          <a:extLst>
            <a:ext uri="{FF2B5EF4-FFF2-40B4-BE49-F238E27FC236}">
              <a16:creationId xmlns:a16="http://schemas.microsoft.com/office/drawing/2014/main" xmlns=""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17</xdr:row>
      <xdr:rowOff>152400</xdr:rowOff>
    </xdr:from>
    <xdr:to>
      <xdr:col>8</xdr:col>
      <xdr:colOff>447675</xdr:colOff>
      <xdr:row>39</xdr:row>
      <xdr:rowOff>133350</xdr:rowOff>
    </xdr:to>
    <xdr:graphicFrame macro="">
      <xdr:nvGraphicFramePr>
        <xdr:cNvPr id="2" name="Graphique 9">
          <a:extLst>
            <a:ext uri="{FF2B5EF4-FFF2-40B4-BE49-F238E27FC236}">
              <a16:creationId xmlns:a16="http://schemas.microsoft.com/office/drawing/2014/main" xmlns="" id="{AE58243B-8D48-4822-87EB-A25382F2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int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2"/>
    </sheetNames>
    <sheetDataSet>
      <sheetData sheetId="0">
        <row r="16">
          <cell r="E16">
            <v>81</v>
          </cell>
          <cell r="F16">
            <v>73</v>
          </cell>
          <cell r="G16">
            <v>63</v>
          </cell>
          <cell r="H16">
            <v>48</v>
          </cell>
          <cell r="I16">
            <v>24</v>
          </cell>
          <cell r="J16">
            <v>0</v>
          </cell>
        </row>
        <row r="17">
          <cell r="E17">
            <v>84.444444444444443</v>
          </cell>
          <cell r="F17">
            <v>67.555555555555557</v>
          </cell>
          <cell r="G17">
            <v>50.666666666666657</v>
          </cell>
          <cell r="H17">
            <v>33.777777777777771</v>
          </cell>
          <cell r="I17">
            <v>16.888888888888886</v>
          </cell>
          <cell r="J17">
            <v>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vmlDrawing" Target="../drawings/vmlDrawing4.v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46"/>
      <c r="B1" s="46"/>
      <c r="C1" s="46"/>
      <c r="D1" s="46"/>
      <c r="E1" s="46"/>
      <c r="F1" s="46"/>
      <c r="G1" s="46"/>
      <c r="H1" s="46"/>
      <c r="I1" s="46"/>
      <c r="J1" s="46"/>
      <c r="K1" s="46"/>
      <c r="L1" s="46"/>
      <c r="M1" s="46"/>
      <c r="N1" s="46"/>
      <c r="O1" s="46"/>
      <c r="P1" s="46"/>
      <c r="Q1" s="46"/>
    </row>
    <row r="2" spans="1:17" x14ac:dyDescent="0.15">
      <c r="A2" s="46"/>
      <c r="B2" s="46"/>
      <c r="C2" s="46"/>
      <c r="D2" s="46"/>
      <c r="E2" s="46"/>
      <c r="F2" s="46" t="s">
        <v>47</v>
      </c>
      <c r="G2" s="46"/>
      <c r="H2" s="46">
        <v>42498.56690972222</v>
      </c>
      <c r="I2" s="46"/>
      <c r="J2" s="46"/>
      <c r="K2" s="46"/>
      <c r="L2" s="46"/>
      <c r="M2" s="46"/>
      <c r="N2" s="46"/>
      <c r="O2" s="46"/>
      <c r="P2" s="46"/>
      <c r="Q2" s="46"/>
    </row>
    <row r="3" spans="1:17" x14ac:dyDescent="0.15">
      <c r="A3" s="46"/>
      <c r="B3" s="46"/>
      <c r="C3" s="46"/>
      <c r="D3" s="46"/>
      <c r="E3" s="46"/>
      <c r="F3" s="46"/>
      <c r="G3" s="46"/>
      <c r="H3" s="46"/>
      <c r="I3" s="46"/>
      <c r="J3" s="46"/>
      <c r="K3" s="46"/>
      <c r="L3" s="46"/>
      <c r="M3" s="46"/>
      <c r="N3" s="46"/>
      <c r="O3" s="46"/>
      <c r="P3" s="46"/>
      <c r="Q3" s="46"/>
    </row>
    <row r="4" spans="1:17" ht="36.75" customHeight="1" thickBot="1" x14ac:dyDescent="0.25">
      <c r="A4" s="46"/>
      <c r="B4" s="46"/>
      <c r="C4" s="105" t="s">
        <v>13</v>
      </c>
      <c r="D4" s="105"/>
      <c r="E4" s="105"/>
      <c r="F4" s="105"/>
      <c r="G4" s="105"/>
      <c r="H4" s="105"/>
      <c r="I4" s="105"/>
      <c r="J4" s="46"/>
      <c r="K4" s="46"/>
      <c r="L4" s="46"/>
      <c r="M4" s="46"/>
      <c r="N4" s="46"/>
      <c r="O4" s="46"/>
      <c r="P4" s="46"/>
      <c r="Q4" s="46"/>
    </row>
    <row r="5" spans="1:17" ht="14" thickBot="1" x14ac:dyDescent="0.2">
      <c r="A5" s="46"/>
      <c r="B5" s="46"/>
      <c r="C5" s="106" t="s">
        <v>14</v>
      </c>
      <c r="D5" s="107"/>
      <c r="E5" s="108" t="s">
        <v>15</v>
      </c>
      <c r="F5" s="108"/>
      <c r="G5" s="108"/>
      <c r="H5" s="108"/>
      <c r="I5" s="109"/>
      <c r="J5" s="46"/>
      <c r="K5" s="46"/>
      <c r="L5" s="46"/>
      <c r="M5" s="46"/>
      <c r="N5" s="46"/>
      <c r="O5" s="46"/>
      <c r="P5" s="46"/>
      <c r="Q5" s="46"/>
    </row>
    <row r="6" spans="1:17" x14ac:dyDescent="0.15">
      <c r="A6" s="46"/>
      <c r="B6" s="46"/>
      <c r="C6" s="46"/>
      <c r="D6" s="46"/>
      <c r="E6" s="46"/>
      <c r="F6" s="46"/>
      <c r="G6" s="46"/>
      <c r="H6" s="46"/>
      <c r="I6" s="46"/>
      <c r="J6" s="46"/>
      <c r="K6" s="46"/>
      <c r="L6" s="46"/>
      <c r="M6" s="46"/>
      <c r="N6" s="46"/>
      <c r="O6" s="46"/>
      <c r="P6" s="46"/>
      <c r="Q6" s="46"/>
    </row>
    <row r="7" spans="1:17" x14ac:dyDescent="0.15">
      <c r="A7" s="46"/>
      <c r="B7" s="46"/>
      <c r="C7" s="46"/>
      <c r="D7" s="46"/>
      <c r="E7" s="46"/>
      <c r="F7" s="46"/>
      <c r="G7" s="46"/>
      <c r="H7" s="46"/>
      <c r="I7" s="46"/>
      <c r="J7" s="46"/>
      <c r="K7" s="46"/>
      <c r="L7" s="46"/>
      <c r="M7" s="46"/>
      <c r="N7" s="46"/>
      <c r="O7" s="46"/>
      <c r="P7" s="46"/>
      <c r="Q7" s="46"/>
    </row>
    <row r="8" spans="1:17" x14ac:dyDescent="0.15">
      <c r="A8" s="46"/>
      <c r="B8" s="46"/>
      <c r="C8" s="46"/>
      <c r="D8" s="46"/>
      <c r="E8" s="46"/>
      <c r="F8" s="46"/>
      <c r="G8" s="46"/>
      <c r="H8" s="46"/>
      <c r="I8" s="46"/>
      <c r="J8" s="46"/>
      <c r="K8" s="46"/>
      <c r="L8" s="46"/>
      <c r="M8" s="46"/>
      <c r="N8" s="46"/>
      <c r="O8" s="46"/>
      <c r="P8" s="46"/>
      <c r="Q8" s="46"/>
    </row>
    <row r="9" spans="1:17" x14ac:dyDescent="0.15">
      <c r="A9" s="46"/>
      <c r="B9" s="46"/>
      <c r="C9" s="46"/>
      <c r="D9" s="46"/>
      <c r="E9" s="46"/>
      <c r="F9" s="46"/>
      <c r="G9" s="46"/>
      <c r="H9" s="46"/>
      <c r="I9" s="46"/>
      <c r="J9" s="46"/>
      <c r="K9" s="46"/>
      <c r="L9" s="46"/>
      <c r="M9" s="46"/>
      <c r="N9" s="46"/>
      <c r="O9" s="46"/>
      <c r="P9" s="46"/>
      <c r="Q9" s="46"/>
    </row>
    <row r="10" spans="1:17" x14ac:dyDescent="0.15">
      <c r="A10" s="46"/>
      <c r="B10" s="46"/>
      <c r="C10" s="46"/>
      <c r="D10" s="46"/>
      <c r="E10" s="46"/>
      <c r="F10" s="46"/>
      <c r="G10" s="46"/>
      <c r="H10" s="46"/>
      <c r="I10" s="46"/>
      <c r="J10" s="46"/>
      <c r="K10" s="46"/>
      <c r="L10" s="46"/>
      <c r="M10" s="46"/>
      <c r="N10" s="46"/>
      <c r="O10" s="46"/>
      <c r="P10" s="46"/>
      <c r="Q10" s="46"/>
    </row>
    <row r="11" spans="1:17" x14ac:dyDescent="0.15">
      <c r="A11" s="46"/>
      <c r="B11" s="46"/>
      <c r="C11" s="46"/>
      <c r="D11" s="46"/>
      <c r="E11" s="46"/>
      <c r="F11" s="46"/>
      <c r="G11" s="46"/>
      <c r="H11" s="46"/>
      <c r="I11" s="46"/>
      <c r="J11" s="46"/>
      <c r="K11" s="46"/>
      <c r="L11" s="46"/>
      <c r="M11" s="46"/>
      <c r="N11" s="46"/>
      <c r="O11" s="46"/>
      <c r="P11" s="46"/>
      <c r="Q11" s="46"/>
    </row>
    <row r="12" spans="1:17" x14ac:dyDescent="0.15">
      <c r="A12" s="46"/>
      <c r="B12" s="46"/>
      <c r="C12" s="46"/>
      <c r="D12" s="46"/>
      <c r="E12" s="46"/>
      <c r="F12" s="46"/>
      <c r="G12" s="46"/>
      <c r="H12" s="46"/>
      <c r="I12" s="46"/>
      <c r="J12" s="46"/>
      <c r="K12" s="46"/>
      <c r="L12" s="46"/>
      <c r="M12" s="46"/>
      <c r="N12" s="46"/>
      <c r="O12" s="46"/>
      <c r="P12" s="46"/>
      <c r="Q12" s="46"/>
    </row>
    <row r="13" spans="1:17" x14ac:dyDescent="0.15">
      <c r="A13" s="46"/>
      <c r="B13" s="46"/>
      <c r="C13" s="46"/>
      <c r="D13" s="46"/>
      <c r="E13" s="46"/>
      <c r="F13" s="46"/>
      <c r="G13" s="46"/>
      <c r="H13" s="46"/>
      <c r="I13" s="46"/>
      <c r="J13" s="46"/>
      <c r="K13" s="46"/>
      <c r="L13" s="46"/>
      <c r="M13" s="46"/>
      <c r="N13" s="46"/>
      <c r="O13" s="46"/>
      <c r="P13" s="46"/>
      <c r="Q13" s="46"/>
    </row>
    <row r="14" spans="1:17" x14ac:dyDescent="0.15">
      <c r="A14" s="46"/>
      <c r="B14" s="46"/>
      <c r="C14" s="46"/>
      <c r="D14" s="46"/>
      <c r="E14" s="46"/>
      <c r="F14" s="46"/>
      <c r="G14" s="46"/>
      <c r="H14" s="46"/>
      <c r="I14" s="46"/>
      <c r="J14" s="46"/>
      <c r="K14" s="46"/>
      <c r="L14" s="46"/>
      <c r="M14" s="46"/>
      <c r="N14" s="46"/>
      <c r="O14" s="46"/>
      <c r="P14" s="46"/>
      <c r="Q14" s="46"/>
    </row>
    <row r="15" spans="1:17" x14ac:dyDescent="0.15">
      <c r="A15" s="46"/>
      <c r="B15" s="46"/>
      <c r="C15" s="47" t="s">
        <v>11</v>
      </c>
      <c r="D15" s="46"/>
      <c r="E15" s="46"/>
      <c r="F15" s="46"/>
      <c r="G15" s="46"/>
      <c r="H15" s="46"/>
      <c r="I15" s="46"/>
      <c r="J15" s="46"/>
      <c r="K15" s="46"/>
      <c r="L15" s="46"/>
      <c r="M15" s="46"/>
      <c r="N15" s="46"/>
      <c r="O15" s="46"/>
      <c r="P15" s="46"/>
      <c r="Q15" s="46"/>
    </row>
    <row r="16" spans="1:17" x14ac:dyDescent="0.15">
      <c r="A16" s="46"/>
      <c r="B16" s="46"/>
      <c r="C16" s="46" t="s">
        <v>16</v>
      </c>
      <c r="D16" s="46"/>
      <c r="E16" s="46"/>
      <c r="F16" s="46"/>
      <c r="G16" s="46"/>
      <c r="H16" s="46"/>
      <c r="I16" s="46"/>
      <c r="J16" s="46"/>
      <c r="K16" s="46"/>
      <c r="L16" s="46"/>
      <c r="M16" s="46"/>
      <c r="N16" s="46"/>
      <c r="O16" s="46"/>
      <c r="P16" s="46"/>
      <c r="Q16" s="46"/>
    </row>
    <row r="17" spans="1:17" x14ac:dyDescent="0.15">
      <c r="A17" s="46"/>
      <c r="B17" s="46"/>
      <c r="C17" s="46" t="s">
        <v>17</v>
      </c>
      <c r="D17" s="46"/>
      <c r="E17" s="46"/>
      <c r="F17" s="46"/>
      <c r="G17" s="46"/>
      <c r="H17" s="46"/>
      <c r="I17" s="46"/>
      <c r="J17" s="46"/>
      <c r="K17" s="46"/>
      <c r="L17" s="46"/>
      <c r="M17" s="46"/>
      <c r="N17" s="46"/>
      <c r="O17" s="46"/>
      <c r="P17" s="46"/>
      <c r="Q17" s="46"/>
    </row>
    <row r="18" spans="1:17" x14ac:dyDescent="0.15">
      <c r="A18" s="46"/>
      <c r="B18" s="46"/>
      <c r="C18" s="46" t="s">
        <v>18</v>
      </c>
      <c r="D18" s="46"/>
      <c r="E18" s="46"/>
      <c r="F18" s="46"/>
      <c r="G18" s="46"/>
      <c r="H18" s="46"/>
      <c r="I18" s="46"/>
      <c r="J18" s="46"/>
      <c r="K18" s="46"/>
      <c r="L18" s="46"/>
      <c r="M18" s="46"/>
      <c r="N18" s="46"/>
      <c r="O18" s="46"/>
      <c r="P18" s="46"/>
      <c r="Q18" s="46"/>
    </row>
    <row r="19" spans="1:17" x14ac:dyDescent="0.15">
      <c r="A19" s="46"/>
      <c r="B19" s="46"/>
      <c r="C19" s="46" t="s">
        <v>19</v>
      </c>
      <c r="D19" s="46"/>
      <c r="E19" s="46"/>
      <c r="F19" s="46"/>
      <c r="G19" s="46"/>
      <c r="H19" s="46"/>
      <c r="I19" s="46"/>
      <c r="J19" s="46"/>
      <c r="K19" s="46"/>
      <c r="L19" s="46"/>
      <c r="M19" s="46"/>
      <c r="N19" s="46"/>
      <c r="O19" s="46"/>
      <c r="P19" s="46"/>
      <c r="Q19" s="46"/>
    </row>
    <row r="20" spans="1:17" x14ac:dyDescent="0.15">
      <c r="A20" s="46"/>
      <c r="B20" s="46"/>
      <c r="C20" s="46"/>
      <c r="D20" s="46"/>
      <c r="E20" s="46"/>
      <c r="F20" s="46"/>
      <c r="G20" s="46"/>
      <c r="H20" s="46"/>
      <c r="I20" s="46"/>
      <c r="J20" s="46"/>
      <c r="K20" s="46"/>
      <c r="L20" s="46"/>
      <c r="M20" s="46"/>
      <c r="N20" s="46"/>
      <c r="O20" s="46"/>
      <c r="P20" s="46"/>
      <c r="Q20" s="46"/>
    </row>
    <row r="21" spans="1:17" x14ac:dyDescent="0.15">
      <c r="A21" s="46"/>
      <c r="B21" s="46"/>
      <c r="C21" s="47" t="s">
        <v>20</v>
      </c>
      <c r="D21" s="46"/>
      <c r="E21" s="46"/>
      <c r="F21" s="46"/>
      <c r="G21" s="46"/>
      <c r="H21" s="46"/>
      <c r="I21" s="46"/>
      <c r="J21" s="46"/>
      <c r="K21" s="46"/>
      <c r="L21" s="46"/>
      <c r="M21" s="46"/>
      <c r="N21" s="46"/>
      <c r="O21" s="46"/>
      <c r="P21" s="46"/>
      <c r="Q21" s="46"/>
    </row>
    <row r="22" spans="1:17" x14ac:dyDescent="0.15">
      <c r="A22" s="46"/>
      <c r="B22" s="46"/>
      <c r="C22" s="46" t="s">
        <v>21</v>
      </c>
      <c r="D22" s="46"/>
      <c r="E22" s="46"/>
      <c r="F22" s="46"/>
      <c r="G22" s="46"/>
      <c r="H22" s="46"/>
      <c r="I22" s="46"/>
      <c r="J22" s="46"/>
      <c r="K22" s="46"/>
      <c r="L22" s="46"/>
      <c r="M22" s="46"/>
      <c r="N22" s="46"/>
      <c r="O22" s="46"/>
      <c r="P22" s="46"/>
      <c r="Q22" s="46"/>
    </row>
    <row r="23" spans="1:17" x14ac:dyDescent="0.15">
      <c r="A23" s="46"/>
      <c r="B23" s="46"/>
      <c r="C23" s="46"/>
      <c r="D23" s="46"/>
      <c r="E23" s="46"/>
      <c r="F23" s="46"/>
      <c r="G23" s="46"/>
      <c r="H23" s="46"/>
      <c r="I23" s="46"/>
      <c r="J23" s="46"/>
      <c r="K23" s="46"/>
      <c r="L23" s="46"/>
      <c r="M23" s="46"/>
      <c r="N23" s="46"/>
      <c r="O23" s="46"/>
      <c r="P23" s="46"/>
      <c r="Q23" s="46"/>
    </row>
    <row r="24" spans="1:17" x14ac:dyDescent="0.15">
      <c r="A24" s="46"/>
      <c r="B24" s="46"/>
      <c r="C24" s="46" t="s">
        <v>22</v>
      </c>
      <c r="D24" s="46"/>
      <c r="E24" s="46"/>
      <c r="F24" s="46"/>
      <c r="G24" s="46"/>
      <c r="H24" s="46"/>
      <c r="I24" s="46"/>
      <c r="J24" s="46"/>
      <c r="K24" s="46"/>
      <c r="L24" s="46"/>
      <c r="M24" s="46"/>
      <c r="N24" s="46"/>
      <c r="O24" s="46"/>
      <c r="P24" s="46"/>
      <c r="Q24" s="46"/>
    </row>
    <row r="25" spans="1:17" x14ac:dyDescent="0.15">
      <c r="A25" s="46"/>
      <c r="B25" s="46"/>
      <c r="C25" s="46" t="s">
        <v>23</v>
      </c>
      <c r="D25" s="46"/>
      <c r="E25" s="46"/>
      <c r="F25" s="46"/>
      <c r="G25" s="46"/>
      <c r="H25" s="46"/>
      <c r="I25" s="46"/>
      <c r="J25" s="46"/>
      <c r="K25" s="46"/>
      <c r="L25" s="46"/>
      <c r="M25" s="46"/>
      <c r="N25" s="46"/>
      <c r="O25" s="46"/>
      <c r="P25" s="46"/>
      <c r="Q25" s="46"/>
    </row>
    <row r="26" spans="1:17" x14ac:dyDescent="0.15">
      <c r="A26" s="46"/>
      <c r="B26" s="46"/>
      <c r="C26" s="46" t="s">
        <v>24</v>
      </c>
      <c r="D26" s="46"/>
      <c r="E26" s="46"/>
      <c r="F26" s="46"/>
      <c r="G26" s="46"/>
      <c r="H26" s="46"/>
      <c r="I26" s="46"/>
      <c r="J26" s="46"/>
      <c r="K26" s="46"/>
      <c r="L26" s="46"/>
      <c r="M26" s="46"/>
      <c r="N26" s="46"/>
      <c r="O26" s="46"/>
      <c r="P26" s="46"/>
      <c r="Q26" s="46"/>
    </row>
    <row r="27" spans="1:17" x14ac:dyDescent="0.15">
      <c r="A27" s="46"/>
      <c r="B27" s="46"/>
      <c r="C27" s="46" t="s">
        <v>25</v>
      </c>
      <c r="D27" s="46"/>
      <c r="E27" s="46"/>
      <c r="F27" s="46"/>
      <c r="G27" s="46"/>
      <c r="H27" s="46"/>
      <c r="I27" s="46"/>
      <c r="J27" s="46"/>
      <c r="K27" s="46"/>
      <c r="L27" s="46"/>
      <c r="M27" s="46"/>
      <c r="N27" s="46"/>
      <c r="O27" s="46"/>
      <c r="P27" s="46"/>
      <c r="Q27" s="46"/>
    </row>
    <row r="28" spans="1:17" x14ac:dyDescent="0.15">
      <c r="A28" s="46"/>
      <c r="B28" s="46"/>
      <c r="C28" s="46"/>
      <c r="D28" s="46"/>
      <c r="E28" s="46"/>
      <c r="F28" s="46"/>
      <c r="G28" s="46"/>
      <c r="H28" s="46"/>
      <c r="I28" s="46"/>
      <c r="J28" s="46"/>
      <c r="K28" s="46"/>
      <c r="L28" s="46"/>
      <c r="M28" s="46"/>
      <c r="N28" s="46"/>
      <c r="O28" s="46"/>
      <c r="P28" s="46"/>
      <c r="Q28" s="46"/>
    </row>
    <row r="29" spans="1:17" x14ac:dyDescent="0.15">
      <c r="A29" s="46"/>
      <c r="B29" s="46"/>
      <c r="C29" s="32"/>
      <c r="D29" s="46"/>
      <c r="E29" s="46"/>
      <c r="F29" s="46"/>
      <c r="G29" s="46"/>
      <c r="H29" s="46"/>
      <c r="I29" s="46"/>
      <c r="J29" s="46"/>
      <c r="K29" s="46"/>
      <c r="L29" s="46"/>
      <c r="M29" s="46"/>
      <c r="N29" s="46"/>
      <c r="O29" s="46"/>
      <c r="P29" s="46"/>
      <c r="Q29" s="46"/>
    </row>
    <row r="30" spans="1:17" x14ac:dyDescent="0.15">
      <c r="A30" s="46"/>
      <c r="B30" s="46"/>
      <c r="C30" s="87"/>
      <c r="D30" s="46"/>
      <c r="E30" s="46"/>
      <c r="F30" s="46"/>
      <c r="G30" s="46"/>
      <c r="H30" s="46"/>
      <c r="I30" s="46"/>
      <c r="J30" s="46"/>
      <c r="K30" s="46"/>
      <c r="L30" s="46"/>
      <c r="M30" s="46"/>
      <c r="N30" s="46"/>
      <c r="O30" s="46"/>
      <c r="P30" s="46"/>
      <c r="Q30" s="46"/>
    </row>
    <row r="31" spans="1:17" x14ac:dyDescent="0.15">
      <c r="A31" s="46"/>
      <c r="B31" s="46"/>
      <c r="C31" s="46" t="s">
        <v>48</v>
      </c>
      <c r="D31" s="46"/>
      <c r="E31" s="104" t="s">
        <v>49</v>
      </c>
      <c r="F31" s="104"/>
      <c r="G31" s="104"/>
      <c r="H31" s="46"/>
      <c r="I31" s="46"/>
      <c r="J31" s="46"/>
      <c r="K31" s="46"/>
      <c r="L31" s="46"/>
      <c r="M31" s="46"/>
      <c r="N31" s="46"/>
      <c r="O31" s="46"/>
      <c r="P31" s="46"/>
      <c r="Q31" s="46"/>
    </row>
    <row r="32" spans="1:17" x14ac:dyDescent="0.15">
      <c r="A32" s="46"/>
      <c r="B32" s="46"/>
      <c r="C32" s="46" t="s">
        <v>50</v>
      </c>
      <c r="D32" s="46"/>
      <c r="E32" s="104" t="s">
        <v>51</v>
      </c>
      <c r="F32" s="104"/>
      <c r="G32" s="104"/>
      <c r="H32" s="46"/>
      <c r="I32" s="46"/>
      <c r="J32" s="46"/>
      <c r="K32" s="46"/>
      <c r="L32" s="46"/>
      <c r="M32" s="46"/>
      <c r="N32" s="46"/>
      <c r="O32" s="46"/>
      <c r="P32" s="46"/>
      <c r="Q32" s="46"/>
    </row>
    <row r="33" spans="1:17" x14ac:dyDescent="0.15">
      <c r="A33" s="46"/>
      <c r="B33" s="46"/>
      <c r="C33" s="46" t="s">
        <v>52</v>
      </c>
      <c r="D33" s="46"/>
      <c r="E33" s="104" t="s">
        <v>49</v>
      </c>
      <c r="F33" s="104"/>
      <c r="G33" s="104"/>
      <c r="H33" s="46"/>
      <c r="I33" s="46"/>
      <c r="J33" s="46"/>
      <c r="K33" s="46"/>
      <c r="L33" s="46"/>
      <c r="M33" s="46"/>
      <c r="N33" s="46"/>
      <c r="O33" s="46"/>
      <c r="P33" s="46"/>
      <c r="Q33" s="46"/>
    </row>
    <row r="34" spans="1:17" x14ac:dyDescent="0.15">
      <c r="A34" s="46"/>
      <c r="B34" s="46"/>
      <c r="C34" s="46" t="s">
        <v>53</v>
      </c>
      <c r="D34" s="46"/>
      <c r="E34" s="104" t="s">
        <v>54</v>
      </c>
      <c r="F34" s="104"/>
      <c r="G34" s="104"/>
      <c r="H34" s="46"/>
      <c r="I34" s="46"/>
      <c r="J34" s="46"/>
      <c r="K34" s="46"/>
      <c r="L34" s="46"/>
      <c r="M34" s="46"/>
      <c r="N34" s="46"/>
      <c r="O34" s="46"/>
      <c r="P34" s="46"/>
      <c r="Q34" s="46"/>
    </row>
    <row r="35" spans="1:17" x14ac:dyDescent="0.15">
      <c r="A35" s="46"/>
      <c r="B35" s="46"/>
      <c r="C35" s="46" t="s">
        <v>55</v>
      </c>
      <c r="D35" s="46"/>
      <c r="E35" s="104" t="s">
        <v>56</v>
      </c>
      <c r="F35" s="104"/>
      <c r="G35" s="104"/>
      <c r="H35" s="46"/>
      <c r="I35" s="46"/>
      <c r="J35" s="46"/>
      <c r="K35" s="46"/>
      <c r="L35" s="46"/>
      <c r="M35" s="46"/>
      <c r="N35" s="46"/>
      <c r="O35" s="46"/>
      <c r="P35" s="46"/>
      <c r="Q35" s="46"/>
    </row>
    <row r="36" spans="1:17" x14ac:dyDescent="0.15">
      <c r="A36" s="46"/>
      <c r="B36" s="46"/>
      <c r="C36" s="46" t="s">
        <v>57</v>
      </c>
      <c r="D36" s="46"/>
      <c r="E36" s="104" t="s">
        <v>58</v>
      </c>
      <c r="F36" s="104"/>
      <c r="G36" s="104"/>
      <c r="H36" s="46"/>
      <c r="I36" s="46"/>
      <c r="J36" s="46"/>
      <c r="K36" s="46"/>
      <c r="L36" s="46"/>
      <c r="M36" s="46"/>
      <c r="N36" s="46"/>
      <c r="O36" s="46"/>
      <c r="P36" s="46"/>
      <c r="Q36" s="46"/>
    </row>
    <row r="37" spans="1:17" x14ac:dyDescent="0.15">
      <c r="A37" s="46"/>
      <c r="B37" s="46"/>
      <c r="C37" s="46"/>
      <c r="D37" s="46"/>
      <c r="E37" s="46"/>
      <c r="F37" s="46"/>
      <c r="G37" s="46"/>
      <c r="H37" s="46"/>
      <c r="I37" s="46"/>
      <c r="J37" s="46"/>
      <c r="K37" s="46"/>
      <c r="L37" s="46"/>
      <c r="M37" s="46"/>
      <c r="N37" s="46"/>
      <c r="O37" s="46"/>
      <c r="P37" s="46"/>
      <c r="Q37" s="46"/>
    </row>
    <row r="38" spans="1:17" x14ac:dyDescent="0.15">
      <c r="A38" s="46"/>
      <c r="B38" s="46"/>
      <c r="C38" s="46"/>
      <c r="D38" s="46"/>
      <c r="E38" s="46"/>
      <c r="F38" s="46"/>
      <c r="G38" s="46"/>
      <c r="H38" s="46"/>
      <c r="I38" s="46"/>
      <c r="J38" s="46"/>
      <c r="K38" s="46"/>
      <c r="L38" s="46"/>
      <c r="M38" s="46"/>
      <c r="N38" s="46"/>
      <c r="O38" s="46"/>
      <c r="P38" s="46"/>
      <c r="Q38" s="46"/>
    </row>
    <row r="39" spans="1:17" x14ac:dyDescent="0.15">
      <c r="A39" s="46"/>
      <c r="B39" s="46"/>
      <c r="C39" s="46"/>
      <c r="D39" s="46"/>
      <c r="E39" s="46"/>
      <c r="F39" s="46"/>
      <c r="G39" s="46"/>
      <c r="H39" s="46"/>
      <c r="I39" s="46"/>
      <c r="J39" s="46"/>
      <c r="K39" s="46"/>
      <c r="L39" s="46"/>
      <c r="M39" s="46"/>
      <c r="N39" s="46"/>
      <c r="O39" s="46"/>
      <c r="P39" s="46"/>
      <c r="Q39" s="46"/>
    </row>
    <row r="40" spans="1:17" x14ac:dyDescent="0.15">
      <c r="A40" s="46"/>
      <c r="B40" s="46"/>
      <c r="C40" s="46"/>
      <c r="D40" s="46"/>
      <c r="E40" s="46"/>
      <c r="F40" s="46"/>
      <c r="G40" s="46"/>
      <c r="H40" s="46"/>
      <c r="I40" s="46"/>
      <c r="J40" s="46"/>
      <c r="K40" s="46"/>
      <c r="L40" s="46"/>
      <c r="M40" s="46"/>
      <c r="N40" s="46"/>
      <c r="O40" s="46"/>
      <c r="P40" s="46"/>
      <c r="Q40" s="46"/>
    </row>
    <row r="41" spans="1:17" x14ac:dyDescent="0.15">
      <c r="A41" s="46"/>
      <c r="B41" s="46"/>
      <c r="C41" s="46"/>
      <c r="D41" s="46"/>
      <c r="E41" s="46"/>
      <c r="F41" s="46"/>
      <c r="G41" s="46"/>
      <c r="H41" s="46"/>
      <c r="I41" s="46"/>
      <c r="J41" s="46"/>
      <c r="K41" s="46"/>
      <c r="L41" s="46"/>
      <c r="M41" s="46"/>
      <c r="N41" s="46"/>
      <c r="O41" s="46"/>
      <c r="P41" s="46"/>
      <c r="Q41" s="46"/>
    </row>
    <row r="42" spans="1:17" x14ac:dyDescent="0.15">
      <c r="A42" s="46"/>
      <c r="B42" s="46"/>
      <c r="C42" s="46"/>
      <c r="D42" s="46"/>
      <c r="E42" s="46"/>
      <c r="F42" s="46"/>
      <c r="G42" s="46"/>
      <c r="H42" s="46"/>
      <c r="I42" s="46"/>
      <c r="J42" s="46"/>
      <c r="K42" s="46"/>
      <c r="L42" s="46"/>
      <c r="M42" s="46"/>
      <c r="N42" s="46"/>
      <c r="O42" s="46"/>
      <c r="P42" s="46"/>
      <c r="Q42" s="46"/>
    </row>
    <row r="43" spans="1:17" x14ac:dyDescent="0.15">
      <c r="A43" s="46"/>
      <c r="B43" s="46"/>
      <c r="C43" s="46"/>
      <c r="D43" s="46"/>
      <c r="E43" s="46"/>
      <c r="F43" s="46"/>
      <c r="G43" s="46"/>
      <c r="H43" s="46"/>
      <c r="I43" s="46"/>
      <c r="J43" s="46"/>
      <c r="K43" s="46"/>
      <c r="L43" s="46"/>
      <c r="M43" s="46"/>
      <c r="N43" s="46"/>
      <c r="O43" s="46"/>
      <c r="P43" s="46"/>
      <c r="Q43" s="46"/>
    </row>
    <row r="44" spans="1:17" x14ac:dyDescent="0.15">
      <c r="A44" s="46"/>
      <c r="B44" s="46"/>
      <c r="C44" s="46"/>
      <c r="D44" s="46"/>
      <c r="E44" s="46"/>
      <c r="F44" s="46"/>
      <c r="G44" s="46"/>
      <c r="H44" s="46"/>
      <c r="I44" s="46"/>
      <c r="J44" s="46"/>
      <c r="K44" s="46"/>
      <c r="L44" s="46"/>
      <c r="M44" s="46"/>
      <c r="N44" s="46"/>
      <c r="O44" s="46"/>
      <c r="P44" s="46"/>
      <c r="Q44" s="46"/>
    </row>
    <row r="45" spans="1:17" x14ac:dyDescent="0.15">
      <c r="A45" s="46"/>
      <c r="B45" s="46"/>
      <c r="C45" s="46"/>
      <c r="D45" s="46"/>
      <c r="E45" s="46"/>
      <c r="F45" s="46"/>
      <c r="G45" s="46"/>
      <c r="H45" s="46"/>
      <c r="I45" s="46"/>
      <c r="J45" s="46"/>
      <c r="K45" s="46"/>
      <c r="L45" s="46"/>
      <c r="M45" s="46"/>
      <c r="N45" s="46"/>
      <c r="O45" s="46"/>
      <c r="P45" s="46"/>
      <c r="Q45" s="46"/>
    </row>
    <row r="46" spans="1:17" x14ac:dyDescent="0.15">
      <c r="A46" s="46"/>
      <c r="B46" s="46"/>
      <c r="C46" s="46"/>
      <c r="D46" s="46"/>
      <c r="E46" s="46"/>
      <c r="F46" s="46"/>
      <c r="G46" s="46"/>
      <c r="H46" s="46"/>
      <c r="I46" s="46"/>
      <c r="J46" s="46"/>
      <c r="K46" s="46"/>
      <c r="L46" s="46"/>
      <c r="M46" s="46"/>
      <c r="N46" s="46"/>
      <c r="O46" s="46"/>
      <c r="P46" s="46"/>
      <c r="Q46" s="46"/>
    </row>
    <row r="47" spans="1:17" x14ac:dyDescent="0.15">
      <c r="A47" s="46"/>
      <c r="B47" s="46"/>
      <c r="C47" s="46"/>
      <c r="D47" s="46"/>
      <c r="E47" s="46"/>
      <c r="F47" s="46"/>
      <c r="G47" s="46"/>
      <c r="H47" s="46"/>
      <c r="I47" s="46"/>
      <c r="J47" s="46"/>
      <c r="K47" s="46"/>
      <c r="L47" s="46"/>
      <c r="M47" s="46"/>
      <c r="N47" s="46"/>
      <c r="O47" s="46"/>
      <c r="P47" s="46"/>
      <c r="Q47" s="46"/>
    </row>
    <row r="48" spans="1:17" x14ac:dyDescent="0.15">
      <c r="A48" s="46"/>
      <c r="B48" s="46"/>
      <c r="C48" s="46"/>
      <c r="D48" s="46"/>
      <c r="E48" s="46"/>
      <c r="F48" s="46"/>
      <c r="G48" s="46"/>
      <c r="H48" s="46"/>
      <c r="I48" s="46"/>
      <c r="J48" s="46"/>
      <c r="K48" s="46"/>
      <c r="L48" s="46"/>
      <c r="M48" s="46"/>
      <c r="N48" s="46"/>
      <c r="O48" s="46"/>
      <c r="P48" s="46"/>
      <c r="Q48" s="46"/>
    </row>
    <row r="49" spans="1:17" x14ac:dyDescent="0.15">
      <c r="A49" s="46"/>
      <c r="B49" s="46"/>
      <c r="C49" s="46"/>
      <c r="D49" s="46"/>
      <c r="E49" s="46"/>
      <c r="F49" s="46"/>
      <c r="G49" s="46"/>
      <c r="H49" s="46"/>
      <c r="I49" s="46"/>
      <c r="J49" s="46"/>
      <c r="K49" s="46"/>
      <c r="L49" s="46"/>
      <c r="M49" s="46"/>
      <c r="N49" s="46"/>
      <c r="O49" s="46"/>
      <c r="P49" s="46"/>
      <c r="Q49" s="46"/>
    </row>
    <row r="50" spans="1:17" x14ac:dyDescent="0.15">
      <c r="A50" s="46"/>
      <c r="B50" s="46"/>
      <c r="C50" s="46"/>
      <c r="D50" s="46"/>
      <c r="E50" s="46"/>
      <c r="F50" s="46"/>
      <c r="G50" s="46"/>
      <c r="H50" s="46"/>
      <c r="I50" s="46"/>
      <c r="J50" s="46"/>
      <c r="K50" s="46"/>
      <c r="L50" s="46"/>
      <c r="M50" s="46"/>
      <c r="N50" s="46"/>
      <c r="O50" s="46"/>
      <c r="P50" s="46"/>
      <c r="Q50" s="46"/>
    </row>
    <row r="51" spans="1:17" x14ac:dyDescent="0.15">
      <c r="A51" s="46"/>
      <c r="B51" s="46"/>
      <c r="C51" s="46"/>
      <c r="D51" s="46"/>
      <c r="E51" s="46"/>
      <c r="F51" s="46"/>
      <c r="G51" s="46"/>
      <c r="H51" s="46"/>
      <c r="I51" s="46"/>
      <c r="J51" s="46"/>
      <c r="K51" s="46"/>
      <c r="L51" s="46"/>
      <c r="M51" s="46"/>
      <c r="N51" s="46"/>
      <c r="O51" s="46"/>
      <c r="P51" s="46"/>
      <c r="Q51" s="46"/>
    </row>
    <row r="52" spans="1:17" x14ac:dyDescent="0.15">
      <c r="A52" s="46"/>
      <c r="B52" s="46"/>
      <c r="C52" s="46"/>
      <c r="D52" s="46"/>
      <c r="E52" s="46"/>
      <c r="F52" s="46"/>
      <c r="G52" s="46"/>
      <c r="H52" s="46"/>
      <c r="I52" s="46"/>
      <c r="J52" s="46"/>
      <c r="K52" s="46"/>
      <c r="L52" s="46"/>
      <c r="M52" s="46"/>
      <c r="N52" s="46"/>
      <c r="O52" s="46"/>
      <c r="P52" s="46"/>
      <c r="Q52" s="46"/>
    </row>
    <row r="53" spans="1:17" x14ac:dyDescent="0.15">
      <c r="A53" s="46"/>
      <c r="B53" s="46"/>
      <c r="C53" s="46"/>
      <c r="D53" s="46"/>
      <c r="E53" s="46"/>
      <c r="F53" s="46"/>
      <c r="G53" s="46"/>
      <c r="H53" s="46"/>
      <c r="I53" s="46"/>
      <c r="J53" s="46"/>
      <c r="K53" s="46"/>
      <c r="L53" s="46"/>
      <c r="M53" s="46"/>
      <c r="N53" s="46"/>
      <c r="O53" s="46"/>
      <c r="P53" s="46"/>
      <c r="Q53" s="46"/>
    </row>
    <row r="54" spans="1:17" x14ac:dyDescent="0.15">
      <c r="A54" s="46"/>
      <c r="B54" s="46"/>
      <c r="C54" s="46"/>
      <c r="D54" s="46"/>
      <c r="E54" s="46"/>
      <c r="F54" s="46"/>
      <c r="G54" s="46"/>
      <c r="H54" s="46"/>
      <c r="I54" s="46"/>
      <c r="J54" s="46"/>
      <c r="K54" s="46"/>
      <c r="L54" s="46"/>
      <c r="M54" s="46"/>
      <c r="N54" s="46"/>
      <c r="O54" s="46"/>
      <c r="P54" s="46"/>
      <c r="Q54" s="46"/>
    </row>
    <row r="55" spans="1:17" x14ac:dyDescent="0.15">
      <c r="A55" s="46"/>
      <c r="B55" s="46"/>
      <c r="C55" s="46"/>
      <c r="D55" s="46"/>
      <c r="E55" s="46"/>
      <c r="F55" s="46"/>
      <c r="G55" s="46"/>
      <c r="H55" s="46"/>
      <c r="I55" s="46"/>
      <c r="J55" s="46"/>
      <c r="K55" s="46"/>
      <c r="L55" s="46"/>
      <c r="M55" s="46"/>
      <c r="N55" s="46"/>
      <c r="O55" s="46"/>
      <c r="P55" s="46"/>
      <c r="Q55" s="46"/>
    </row>
    <row r="56" spans="1:17" x14ac:dyDescent="0.15">
      <c r="A56" s="46"/>
      <c r="B56" s="46"/>
      <c r="C56" s="46"/>
      <c r="D56" s="46"/>
      <c r="E56" s="46"/>
      <c r="F56" s="46"/>
      <c r="G56" s="46"/>
      <c r="H56" s="46"/>
      <c r="I56" s="46"/>
      <c r="J56" s="46"/>
      <c r="K56" s="46"/>
      <c r="L56" s="46"/>
      <c r="M56" s="46"/>
      <c r="N56" s="46"/>
      <c r="O56" s="46"/>
      <c r="P56" s="46"/>
      <c r="Q56" s="46"/>
    </row>
    <row r="57" spans="1:17" x14ac:dyDescent="0.15">
      <c r="A57" s="46"/>
      <c r="B57" s="46"/>
      <c r="C57" s="46"/>
      <c r="D57" s="46"/>
      <c r="E57" s="46"/>
      <c r="F57" s="46"/>
      <c r="G57" s="46"/>
      <c r="H57" s="46"/>
      <c r="I57" s="46"/>
      <c r="J57" s="46"/>
      <c r="K57" s="46"/>
      <c r="L57" s="46"/>
      <c r="M57" s="46"/>
      <c r="N57" s="46"/>
      <c r="O57" s="46"/>
      <c r="P57" s="46"/>
      <c r="Q57" s="46"/>
    </row>
    <row r="58" spans="1:17" x14ac:dyDescent="0.15">
      <c r="A58" s="46"/>
      <c r="B58" s="46"/>
      <c r="C58" s="46"/>
      <c r="D58" s="46"/>
      <c r="E58" s="46"/>
      <c r="F58" s="46"/>
      <c r="G58" s="46"/>
      <c r="H58" s="46"/>
      <c r="I58" s="46"/>
      <c r="J58" s="46"/>
      <c r="K58" s="46"/>
      <c r="L58" s="46"/>
      <c r="M58" s="46"/>
      <c r="N58" s="46"/>
      <c r="O58" s="46"/>
      <c r="P58" s="46"/>
      <c r="Q58" s="46"/>
    </row>
    <row r="59" spans="1:17" x14ac:dyDescent="0.15">
      <c r="A59" s="46"/>
      <c r="B59" s="46"/>
      <c r="C59" s="46"/>
      <c r="D59" s="46"/>
      <c r="E59" s="46"/>
      <c r="F59" s="46"/>
      <c r="G59" s="46"/>
      <c r="H59" s="46"/>
      <c r="I59" s="46"/>
      <c r="J59" s="46"/>
      <c r="K59" s="46"/>
      <c r="L59" s="46"/>
      <c r="M59" s="46"/>
      <c r="N59" s="46"/>
      <c r="O59" s="46"/>
      <c r="P59" s="46"/>
      <c r="Q59" s="46"/>
    </row>
    <row r="60" spans="1:17" x14ac:dyDescent="0.15">
      <c r="A60" s="46"/>
      <c r="B60" s="46"/>
      <c r="C60" s="46"/>
      <c r="D60" s="46"/>
      <c r="E60" s="46"/>
      <c r="F60" s="46"/>
      <c r="G60" s="46"/>
      <c r="H60" s="46"/>
      <c r="I60" s="46"/>
      <c r="J60" s="46"/>
      <c r="K60" s="46"/>
      <c r="L60" s="46"/>
      <c r="M60" s="46"/>
      <c r="N60" s="46"/>
      <c r="O60" s="46"/>
      <c r="P60" s="46"/>
      <c r="Q60" s="46"/>
    </row>
    <row r="61" spans="1:17" x14ac:dyDescent="0.15">
      <c r="A61" s="46"/>
      <c r="B61" s="46"/>
      <c r="C61" s="46"/>
      <c r="D61" s="46"/>
      <c r="E61" s="46"/>
      <c r="F61" s="46"/>
      <c r="G61" s="46"/>
      <c r="H61" s="46"/>
      <c r="I61" s="46"/>
      <c r="J61" s="46"/>
      <c r="K61" s="46"/>
      <c r="L61" s="46"/>
      <c r="M61" s="46"/>
      <c r="N61" s="46"/>
      <c r="O61" s="46"/>
      <c r="P61" s="46"/>
      <c r="Q61" s="46"/>
    </row>
    <row r="62" spans="1:17" x14ac:dyDescent="0.15">
      <c r="A62" s="46"/>
      <c r="B62" s="46"/>
      <c r="C62" s="46"/>
      <c r="D62" s="46"/>
      <c r="E62" s="46"/>
      <c r="F62" s="46"/>
      <c r="G62" s="46"/>
      <c r="H62" s="46"/>
      <c r="I62" s="46"/>
      <c r="J62" s="46"/>
      <c r="K62" s="46"/>
      <c r="L62" s="46"/>
      <c r="M62" s="46"/>
      <c r="N62" s="46"/>
      <c r="O62" s="46"/>
      <c r="P62" s="46"/>
      <c r="Q62" s="46"/>
    </row>
    <row r="63" spans="1:17" x14ac:dyDescent="0.15">
      <c r="A63" s="46"/>
      <c r="B63" s="46"/>
      <c r="C63" s="46"/>
      <c r="D63" s="46"/>
      <c r="E63" s="46"/>
      <c r="F63" s="46"/>
      <c r="G63" s="46"/>
      <c r="H63" s="46"/>
      <c r="I63" s="46"/>
      <c r="J63" s="46"/>
      <c r="K63" s="46"/>
      <c r="L63" s="46"/>
      <c r="M63" s="46"/>
      <c r="N63" s="46"/>
      <c r="O63" s="46"/>
      <c r="P63" s="46"/>
      <c r="Q63" s="46"/>
    </row>
    <row r="64" spans="1:17" x14ac:dyDescent="0.15">
      <c r="A64" s="46"/>
      <c r="B64" s="46"/>
      <c r="C64" s="46"/>
      <c r="D64" s="46"/>
      <c r="E64" s="46"/>
      <c r="F64" s="46"/>
      <c r="G64" s="46"/>
      <c r="H64" s="46"/>
      <c r="I64" s="46"/>
      <c r="J64" s="46"/>
      <c r="K64" s="46"/>
      <c r="L64" s="46"/>
      <c r="M64" s="46"/>
      <c r="N64" s="46"/>
      <c r="O64" s="46"/>
      <c r="P64" s="46"/>
      <c r="Q64" s="46"/>
    </row>
    <row r="65" spans="1:17" x14ac:dyDescent="0.15">
      <c r="A65" s="46"/>
      <c r="B65" s="46"/>
      <c r="C65" s="46"/>
      <c r="D65" s="46"/>
      <c r="E65" s="46"/>
      <c r="F65" s="46"/>
      <c r="G65" s="46"/>
      <c r="H65" s="46"/>
      <c r="I65" s="46"/>
      <c r="J65" s="46"/>
      <c r="K65" s="46"/>
      <c r="L65" s="46"/>
      <c r="M65" s="46"/>
      <c r="N65" s="46"/>
      <c r="O65" s="46"/>
      <c r="P65" s="46"/>
      <c r="Q65" s="46"/>
    </row>
    <row r="66" spans="1:17" x14ac:dyDescent="0.15">
      <c r="A66" s="46"/>
      <c r="B66" s="46"/>
      <c r="C66" s="46"/>
      <c r="D66" s="46"/>
      <c r="E66" s="46"/>
      <c r="F66" s="46"/>
      <c r="G66" s="46"/>
      <c r="H66" s="46"/>
      <c r="I66" s="46"/>
      <c r="J66" s="46"/>
      <c r="K66" s="46"/>
      <c r="L66" s="46"/>
      <c r="M66" s="46"/>
      <c r="N66" s="46"/>
      <c r="O66" s="46"/>
      <c r="P66" s="46"/>
      <c r="Q66" s="46"/>
    </row>
    <row r="67" spans="1:17" x14ac:dyDescent="0.15">
      <c r="A67" s="46"/>
      <c r="B67" s="46"/>
      <c r="C67" s="46"/>
      <c r="D67" s="46"/>
      <c r="E67" s="46"/>
      <c r="F67" s="46"/>
      <c r="G67" s="46"/>
      <c r="H67" s="46"/>
      <c r="I67" s="46"/>
      <c r="J67" s="46"/>
      <c r="K67" s="46"/>
      <c r="L67" s="46"/>
      <c r="M67" s="46"/>
      <c r="N67" s="46"/>
      <c r="O67" s="46"/>
      <c r="P67" s="46"/>
      <c r="Q67" s="46"/>
    </row>
    <row r="68" spans="1:17" x14ac:dyDescent="0.15">
      <c r="A68" s="46"/>
      <c r="B68" s="46"/>
      <c r="C68" s="46"/>
      <c r="D68" s="46"/>
      <c r="E68" s="46"/>
      <c r="F68" s="46"/>
      <c r="G68" s="46"/>
      <c r="H68" s="46"/>
      <c r="I68" s="46"/>
      <c r="J68" s="46"/>
      <c r="K68" s="46"/>
      <c r="L68" s="46"/>
      <c r="M68" s="46"/>
      <c r="N68" s="46"/>
      <c r="O68" s="46"/>
      <c r="P68" s="46"/>
      <c r="Q68" s="46"/>
    </row>
    <row r="69" spans="1:17" x14ac:dyDescent="0.15">
      <c r="A69" s="46"/>
      <c r="B69" s="46"/>
      <c r="C69" s="46"/>
      <c r="D69" s="46"/>
      <c r="E69" s="46"/>
      <c r="F69" s="46"/>
      <c r="G69" s="46"/>
      <c r="H69" s="46"/>
      <c r="I69" s="46"/>
      <c r="J69" s="46"/>
      <c r="K69" s="46"/>
      <c r="L69" s="46"/>
      <c r="M69" s="46"/>
      <c r="N69" s="46"/>
      <c r="O69" s="46"/>
      <c r="P69" s="46"/>
      <c r="Q69" s="46"/>
    </row>
    <row r="70" spans="1:17" x14ac:dyDescent="0.15">
      <c r="A70" s="46"/>
      <c r="B70" s="46"/>
      <c r="C70" s="46"/>
      <c r="D70" s="46"/>
      <c r="E70" s="46"/>
      <c r="F70" s="46"/>
      <c r="G70" s="46"/>
      <c r="H70" s="46"/>
      <c r="I70" s="46"/>
      <c r="J70" s="46"/>
      <c r="K70" s="46"/>
      <c r="L70" s="46"/>
      <c r="M70" s="46"/>
      <c r="N70" s="46"/>
      <c r="O70" s="46"/>
      <c r="P70" s="46"/>
      <c r="Q70" s="46"/>
    </row>
    <row r="71" spans="1:17" x14ac:dyDescent="0.15">
      <c r="A71" s="46"/>
      <c r="B71" s="46"/>
      <c r="C71" s="46"/>
      <c r="D71" s="46"/>
      <c r="E71" s="46"/>
      <c r="F71" s="46"/>
      <c r="G71" s="46"/>
      <c r="H71" s="46"/>
      <c r="I71" s="46"/>
      <c r="J71" s="46"/>
      <c r="K71" s="46"/>
      <c r="L71" s="46"/>
      <c r="M71" s="46"/>
      <c r="N71" s="46"/>
      <c r="O71" s="46"/>
      <c r="P71" s="46"/>
      <c r="Q71" s="46"/>
    </row>
    <row r="72" spans="1:17" x14ac:dyDescent="0.15">
      <c r="A72" s="46"/>
      <c r="B72" s="46"/>
      <c r="C72" s="46"/>
      <c r="D72" s="46"/>
      <c r="E72" s="46"/>
      <c r="F72" s="46"/>
      <c r="G72" s="46"/>
      <c r="H72" s="46"/>
      <c r="I72" s="46"/>
      <c r="J72" s="46"/>
      <c r="K72" s="46"/>
      <c r="L72" s="46"/>
      <c r="M72" s="46"/>
      <c r="N72" s="46"/>
      <c r="O72" s="46"/>
      <c r="P72" s="46"/>
      <c r="Q72" s="46"/>
    </row>
    <row r="73" spans="1:17" x14ac:dyDescent="0.15">
      <c r="A73" s="46"/>
      <c r="B73" s="46"/>
      <c r="C73" s="46"/>
      <c r="D73" s="46"/>
      <c r="E73" s="46"/>
      <c r="F73" s="46"/>
      <c r="G73" s="46"/>
      <c r="H73" s="46"/>
      <c r="I73" s="46"/>
      <c r="J73" s="46"/>
      <c r="K73" s="46"/>
      <c r="L73" s="46"/>
      <c r="M73" s="46"/>
      <c r="N73" s="46"/>
      <c r="O73" s="46"/>
      <c r="P73" s="46"/>
      <c r="Q73" s="46"/>
    </row>
    <row r="74" spans="1:17" x14ac:dyDescent="0.15">
      <c r="A74" s="46"/>
      <c r="B74" s="46"/>
      <c r="C74" s="46"/>
      <c r="D74" s="46"/>
      <c r="E74" s="46"/>
      <c r="F74" s="46"/>
      <c r="G74" s="46"/>
      <c r="H74" s="46"/>
      <c r="I74" s="46"/>
      <c r="J74" s="46"/>
      <c r="K74" s="46"/>
      <c r="L74" s="46"/>
      <c r="M74" s="46"/>
      <c r="N74" s="46"/>
      <c r="O74" s="46"/>
      <c r="P74" s="46"/>
      <c r="Q74" s="46"/>
    </row>
    <row r="75" spans="1:17" x14ac:dyDescent="0.15">
      <c r="A75" s="46"/>
      <c r="B75" s="46"/>
      <c r="C75" s="46"/>
      <c r="D75" s="46"/>
      <c r="E75" s="46"/>
      <c r="F75" s="46"/>
      <c r="G75" s="46"/>
      <c r="H75" s="46"/>
      <c r="I75" s="46"/>
      <c r="J75" s="46"/>
      <c r="K75" s="46"/>
      <c r="L75" s="46"/>
      <c r="M75" s="46"/>
      <c r="N75" s="46"/>
      <c r="O75" s="46"/>
      <c r="P75" s="46"/>
      <c r="Q75" s="46"/>
    </row>
    <row r="76" spans="1:17" x14ac:dyDescent="0.15">
      <c r="A76" s="46"/>
      <c r="B76" s="46"/>
      <c r="C76" s="46"/>
      <c r="D76" s="46"/>
      <c r="E76" s="46"/>
      <c r="F76" s="46"/>
      <c r="G76" s="46"/>
      <c r="H76" s="46"/>
      <c r="I76" s="46"/>
      <c r="J76" s="46"/>
      <c r="K76" s="46"/>
      <c r="L76" s="46"/>
      <c r="M76" s="46"/>
      <c r="N76" s="46"/>
      <c r="O76" s="46"/>
      <c r="P76" s="46"/>
      <c r="Q76" s="46"/>
    </row>
    <row r="77" spans="1:17" x14ac:dyDescent="0.15">
      <c r="A77" s="46"/>
      <c r="B77" s="46"/>
      <c r="C77" s="46"/>
      <c r="D77" s="46"/>
      <c r="E77" s="46"/>
      <c r="F77" s="46"/>
      <c r="G77" s="46"/>
      <c r="H77" s="46"/>
      <c r="I77" s="46"/>
      <c r="J77" s="46"/>
      <c r="K77" s="46"/>
      <c r="L77" s="46"/>
      <c r="M77" s="46"/>
      <c r="N77" s="46"/>
      <c r="O77" s="46"/>
      <c r="P77" s="46"/>
      <c r="Q77" s="46"/>
    </row>
    <row r="78" spans="1:17" x14ac:dyDescent="0.15">
      <c r="A78" s="46"/>
      <c r="B78" s="46"/>
      <c r="C78" s="46"/>
      <c r="D78" s="46"/>
      <c r="E78" s="46"/>
      <c r="F78" s="46"/>
      <c r="G78" s="46"/>
      <c r="H78" s="46"/>
      <c r="I78" s="46"/>
      <c r="J78" s="46"/>
      <c r="K78" s="46"/>
      <c r="L78" s="46"/>
      <c r="M78" s="46"/>
      <c r="N78" s="46"/>
      <c r="O78" s="46"/>
      <c r="P78" s="46"/>
      <c r="Q78" s="46"/>
    </row>
    <row r="79" spans="1:17" x14ac:dyDescent="0.15">
      <c r="A79" s="46"/>
      <c r="B79" s="46"/>
      <c r="C79" s="46"/>
      <c r="D79" s="46"/>
      <c r="E79" s="46"/>
      <c r="F79" s="46"/>
      <c r="G79" s="46"/>
      <c r="H79" s="46"/>
      <c r="I79" s="46"/>
      <c r="J79" s="46"/>
      <c r="K79" s="46"/>
      <c r="L79" s="46"/>
      <c r="M79" s="46"/>
      <c r="N79" s="46"/>
      <c r="O79" s="46"/>
      <c r="P79" s="46"/>
      <c r="Q79" s="46"/>
    </row>
    <row r="80" spans="1:17" x14ac:dyDescent="0.15">
      <c r="A80" s="46"/>
      <c r="B80" s="46"/>
      <c r="C80" s="46"/>
      <c r="D80" s="46"/>
      <c r="E80" s="46"/>
      <c r="F80" s="46"/>
      <c r="G80" s="46"/>
      <c r="H80" s="46"/>
      <c r="I80" s="46"/>
      <c r="J80" s="46"/>
      <c r="K80" s="46"/>
      <c r="L80" s="46"/>
      <c r="M80" s="46"/>
      <c r="N80" s="46"/>
      <c r="O80" s="46"/>
      <c r="P80" s="46"/>
      <c r="Q80" s="46"/>
    </row>
    <row r="81" spans="1:17" x14ac:dyDescent="0.15">
      <c r="A81" s="46"/>
      <c r="B81" s="46"/>
      <c r="C81" s="46"/>
      <c r="D81" s="46"/>
      <c r="E81" s="46"/>
      <c r="F81" s="46"/>
      <c r="G81" s="46"/>
      <c r="H81" s="46"/>
      <c r="I81" s="46"/>
      <c r="J81" s="46"/>
      <c r="K81" s="46"/>
      <c r="L81" s="46"/>
      <c r="M81" s="46"/>
      <c r="N81" s="46"/>
      <c r="O81" s="46"/>
      <c r="P81" s="46"/>
      <c r="Q81" s="46"/>
    </row>
    <row r="82" spans="1:17" x14ac:dyDescent="0.15">
      <c r="A82" s="46"/>
      <c r="B82" s="46"/>
      <c r="C82" s="46"/>
      <c r="D82" s="46"/>
      <c r="E82" s="46"/>
      <c r="F82" s="46"/>
      <c r="G82" s="46"/>
      <c r="H82" s="46"/>
      <c r="I82" s="46"/>
      <c r="J82" s="46"/>
      <c r="K82" s="46"/>
      <c r="L82" s="46"/>
      <c r="M82" s="46"/>
      <c r="N82" s="46"/>
      <c r="O82" s="46"/>
      <c r="P82" s="46"/>
      <c r="Q82" s="46"/>
    </row>
    <row r="83" spans="1:17" x14ac:dyDescent="0.15">
      <c r="A83" s="46"/>
      <c r="B83" s="46"/>
      <c r="C83" s="46"/>
      <c r="D83" s="46"/>
      <c r="E83" s="46"/>
      <c r="F83" s="46"/>
      <c r="G83" s="46"/>
      <c r="H83" s="46"/>
      <c r="I83" s="46"/>
      <c r="J83" s="46"/>
      <c r="K83" s="46"/>
      <c r="L83" s="46"/>
      <c r="M83" s="46"/>
      <c r="N83" s="46"/>
      <c r="O83" s="46"/>
      <c r="P83" s="46"/>
      <c r="Q83" s="46"/>
    </row>
    <row r="84" spans="1:17" x14ac:dyDescent="0.15">
      <c r="A84" s="46"/>
      <c r="B84" s="46"/>
      <c r="C84" s="46"/>
      <c r="D84" s="46"/>
      <c r="E84" s="46"/>
      <c r="F84" s="46"/>
      <c r="G84" s="46"/>
      <c r="H84" s="46"/>
      <c r="I84" s="46"/>
      <c r="J84" s="46"/>
      <c r="K84" s="46"/>
      <c r="L84" s="46"/>
      <c r="M84" s="46"/>
      <c r="N84" s="46"/>
      <c r="O84" s="46"/>
      <c r="P84" s="46"/>
      <c r="Q84" s="46"/>
    </row>
    <row r="85" spans="1:17" x14ac:dyDescent="0.15">
      <c r="A85" s="46"/>
      <c r="B85" s="46"/>
      <c r="C85" s="46"/>
      <c r="D85" s="46"/>
      <c r="E85" s="46"/>
      <c r="F85" s="46"/>
      <c r="G85" s="46"/>
      <c r="H85" s="46"/>
      <c r="I85" s="46"/>
      <c r="J85" s="46"/>
      <c r="K85" s="46"/>
      <c r="L85" s="46"/>
      <c r="M85" s="46"/>
      <c r="N85" s="46"/>
      <c r="O85" s="46"/>
      <c r="P85" s="46"/>
      <c r="Q85" s="46"/>
    </row>
    <row r="86" spans="1:17" x14ac:dyDescent="0.15">
      <c r="A86" s="46"/>
      <c r="B86" s="46"/>
      <c r="C86" s="46"/>
      <c r="D86" s="46"/>
      <c r="E86" s="46"/>
      <c r="F86" s="46"/>
      <c r="G86" s="46"/>
      <c r="H86" s="46"/>
      <c r="I86" s="46"/>
      <c r="J86" s="46"/>
      <c r="K86" s="46"/>
      <c r="L86" s="46"/>
      <c r="M86" s="46"/>
      <c r="N86" s="46"/>
      <c r="O86" s="46"/>
      <c r="P86" s="46"/>
      <c r="Q86" s="46"/>
    </row>
    <row r="87" spans="1:17" x14ac:dyDescent="0.15">
      <c r="A87" s="46"/>
      <c r="B87" s="46"/>
      <c r="C87" s="46"/>
      <c r="D87" s="46"/>
      <c r="E87" s="46"/>
      <c r="F87" s="46"/>
      <c r="G87" s="46"/>
      <c r="H87" s="46"/>
      <c r="I87" s="46"/>
      <c r="J87" s="46"/>
      <c r="K87" s="46"/>
      <c r="L87" s="46"/>
      <c r="M87" s="46"/>
      <c r="N87" s="46"/>
      <c r="O87" s="46"/>
      <c r="P87" s="46"/>
      <c r="Q87" s="46"/>
    </row>
    <row r="88" spans="1:17" x14ac:dyDescent="0.15">
      <c r="A88" s="46"/>
      <c r="B88" s="46"/>
      <c r="C88" s="46"/>
      <c r="D88" s="46"/>
      <c r="E88" s="46"/>
      <c r="F88" s="46"/>
      <c r="G88" s="46"/>
      <c r="H88" s="46"/>
      <c r="I88" s="46"/>
      <c r="J88" s="46"/>
      <c r="K88" s="46"/>
      <c r="L88" s="46"/>
      <c r="M88" s="46"/>
      <c r="N88" s="46"/>
      <c r="O88" s="46"/>
      <c r="P88" s="46"/>
      <c r="Q88" s="46"/>
    </row>
    <row r="89" spans="1:17" x14ac:dyDescent="0.15">
      <c r="A89" s="46"/>
      <c r="B89" s="46"/>
      <c r="C89" s="46"/>
      <c r="D89" s="46"/>
      <c r="E89" s="46"/>
      <c r="F89" s="46"/>
      <c r="G89" s="46"/>
      <c r="H89" s="46"/>
      <c r="I89" s="46"/>
      <c r="J89" s="46"/>
      <c r="K89" s="46"/>
      <c r="L89" s="46"/>
      <c r="M89" s="46"/>
      <c r="N89" s="46"/>
      <c r="O89" s="46"/>
      <c r="P89" s="46"/>
      <c r="Q89" s="46"/>
    </row>
    <row r="90" spans="1:17" x14ac:dyDescent="0.15">
      <c r="A90" s="46"/>
      <c r="B90" s="46"/>
      <c r="C90" s="46"/>
      <c r="D90" s="46"/>
      <c r="E90" s="46"/>
      <c r="F90" s="46"/>
      <c r="G90" s="46"/>
      <c r="H90" s="46"/>
      <c r="I90" s="46"/>
      <c r="J90" s="46"/>
      <c r="K90" s="46"/>
      <c r="L90" s="46"/>
      <c r="M90" s="46"/>
      <c r="N90" s="46"/>
      <c r="O90" s="46"/>
      <c r="P90" s="46"/>
      <c r="Q90" s="46"/>
    </row>
    <row r="91" spans="1:17" x14ac:dyDescent="0.15">
      <c r="A91" s="46"/>
      <c r="B91" s="46"/>
      <c r="C91" s="46"/>
      <c r="D91" s="46"/>
      <c r="E91" s="46"/>
      <c r="F91" s="46"/>
      <c r="G91" s="46"/>
      <c r="H91" s="46"/>
      <c r="I91" s="46"/>
      <c r="J91" s="46"/>
      <c r="K91" s="46"/>
      <c r="L91" s="46"/>
      <c r="M91" s="46"/>
      <c r="N91" s="46"/>
      <c r="O91" s="46"/>
      <c r="P91" s="46"/>
      <c r="Q91" s="46"/>
    </row>
    <row r="92" spans="1:17" x14ac:dyDescent="0.15">
      <c r="A92" s="46"/>
      <c r="B92" s="46"/>
      <c r="C92" s="46"/>
      <c r="D92" s="46"/>
      <c r="E92" s="46"/>
      <c r="F92" s="46"/>
      <c r="G92" s="46"/>
      <c r="H92" s="46"/>
      <c r="I92" s="46"/>
      <c r="J92" s="46"/>
      <c r="K92" s="46"/>
      <c r="L92" s="46"/>
      <c r="M92" s="46"/>
      <c r="N92" s="46"/>
      <c r="O92" s="46"/>
      <c r="P92" s="46"/>
      <c r="Q92" s="46"/>
    </row>
    <row r="93" spans="1:17" x14ac:dyDescent="0.15">
      <c r="A93" s="46"/>
      <c r="B93" s="46"/>
      <c r="C93" s="46"/>
      <c r="D93" s="46"/>
      <c r="E93" s="46"/>
      <c r="F93" s="46"/>
      <c r="G93" s="46"/>
      <c r="H93" s="46"/>
      <c r="I93" s="46"/>
      <c r="J93" s="46"/>
      <c r="K93" s="46"/>
      <c r="L93" s="46"/>
      <c r="M93" s="46"/>
      <c r="N93" s="46"/>
      <c r="O93" s="46"/>
      <c r="P93" s="46"/>
      <c r="Q93" s="46"/>
    </row>
    <row r="94" spans="1:17" x14ac:dyDescent="0.15">
      <c r="A94" s="46"/>
      <c r="B94" s="46"/>
      <c r="C94" s="46"/>
      <c r="D94" s="46"/>
      <c r="E94" s="46"/>
      <c r="F94" s="46"/>
      <c r="G94" s="46"/>
      <c r="H94" s="46"/>
      <c r="I94" s="46"/>
      <c r="J94" s="46"/>
      <c r="K94" s="46"/>
      <c r="L94" s="46"/>
      <c r="M94" s="46"/>
      <c r="N94" s="46"/>
      <c r="O94" s="46"/>
      <c r="P94" s="46"/>
      <c r="Q94" s="46"/>
    </row>
    <row r="95" spans="1:17" x14ac:dyDescent="0.15">
      <c r="A95" s="46"/>
      <c r="B95" s="46"/>
      <c r="C95" s="46"/>
      <c r="D95" s="46"/>
      <c r="E95" s="46"/>
      <c r="F95" s="46"/>
      <c r="G95" s="46"/>
      <c r="H95" s="46"/>
      <c r="I95" s="46"/>
      <c r="J95" s="46"/>
      <c r="K95" s="46"/>
      <c r="L95" s="46"/>
      <c r="M95" s="46"/>
      <c r="N95" s="46"/>
      <c r="O95" s="46"/>
      <c r="P95" s="46"/>
      <c r="Q95" s="46"/>
    </row>
    <row r="96" spans="1:17" x14ac:dyDescent="0.15">
      <c r="A96" s="46"/>
      <c r="B96" s="46"/>
      <c r="C96" s="46"/>
      <c r="D96" s="46"/>
      <c r="E96" s="46"/>
      <c r="F96" s="46"/>
      <c r="G96" s="46"/>
      <c r="H96" s="46"/>
      <c r="I96" s="46"/>
      <c r="J96" s="46"/>
      <c r="K96" s="46"/>
      <c r="L96" s="46"/>
      <c r="M96" s="46"/>
      <c r="N96" s="46"/>
      <c r="O96" s="46"/>
      <c r="P96" s="46"/>
      <c r="Q96" s="46"/>
    </row>
    <row r="97" spans="1:17" x14ac:dyDescent="0.15">
      <c r="A97" s="46"/>
      <c r="B97" s="46"/>
      <c r="C97" s="46"/>
      <c r="D97" s="46"/>
      <c r="E97" s="46"/>
      <c r="F97" s="46"/>
      <c r="G97" s="46"/>
      <c r="H97" s="46"/>
      <c r="I97" s="46"/>
      <c r="J97" s="46"/>
      <c r="K97" s="46"/>
      <c r="L97" s="46"/>
      <c r="M97" s="46"/>
      <c r="N97" s="46"/>
      <c r="O97" s="46"/>
      <c r="P97" s="46"/>
      <c r="Q97" s="46"/>
    </row>
    <row r="98" spans="1:17" x14ac:dyDescent="0.15">
      <c r="A98" s="46"/>
      <c r="B98" s="46"/>
      <c r="C98" s="46"/>
      <c r="D98" s="46"/>
      <c r="E98" s="46"/>
      <c r="F98" s="46"/>
      <c r="G98" s="46"/>
      <c r="H98" s="46"/>
      <c r="I98" s="46"/>
      <c r="J98" s="46"/>
      <c r="K98" s="46"/>
      <c r="L98" s="46"/>
      <c r="M98" s="46"/>
      <c r="N98" s="46"/>
      <c r="O98" s="46"/>
      <c r="P98" s="46"/>
      <c r="Q98" s="46"/>
    </row>
    <row r="99" spans="1:17" x14ac:dyDescent="0.15">
      <c r="A99" s="46"/>
      <c r="B99" s="46"/>
      <c r="C99" s="46"/>
      <c r="D99" s="46"/>
      <c r="E99" s="46"/>
      <c r="F99" s="46"/>
      <c r="G99" s="46"/>
      <c r="H99" s="46"/>
      <c r="I99" s="46"/>
      <c r="J99" s="46"/>
      <c r="K99" s="46"/>
      <c r="L99" s="46"/>
      <c r="M99" s="46"/>
      <c r="N99" s="46"/>
      <c r="O99" s="46"/>
      <c r="P99" s="46"/>
      <c r="Q99" s="46"/>
    </row>
    <row r="100" spans="1:17" x14ac:dyDescent="0.15">
      <c r="A100" s="46"/>
      <c r="B100" s="46"/>
      <c r="C100" s="46"/>
      <c r="D100" s="46"/>
      <c r="E100" s="46"/>
      <c r="F100" s="46"/>
      <c r="G100" s="46"/>
      <c r="H100" s="46"/>
      <c r="I100" s="46"/>
      <c r="J100" s="46"/>
      <c r="K100" s="46"/>
      <c r="L100" s="46"/>
      <c r="M100" s="46"/>
      <c r="N100" s="46"/>
      <c r="O100" s="46"/>
      <c r="P100" s="46"/>
      <c r="Q100" s="46"/>
    </row>
    <row r="101" spans="1:17" x14ac:dyDescent="0.15">
      <c r="A101" s="46"/>
      <c r="B101" s="46"/>
      <c r="C101" s="46"/>
      <c r="D101" s="46"/>
      <c r="E101" s="46"/>
      <c r="F101" s="46"/>
      <c r="G101" s="46"/>
      <c r="H101" s="46"/>
      <c r="I101" s="46"/>
      <c r="J101" s="46"/>
      <c r="K101" s="46"/>
      <c r="L101" s="46"/>
      <c r="M101" s="46"/>
      <c r="N101" s="46"/>
      <c r="O101" s="46"/>
      <c r="P101" s="46"/>
      <c r="Q101" s="46"/>
    </row>
    <row r="102" spans="1:17" x14ac:dyDescent="0.15">
      <c r="A102" s="46"/>
      <c r="B102" s="46"/>
      <c r="C102" s="46"/>
      <c r="D102" s="46"/>
      <c r="E102" s="46"/>
      <c r="F102" s="46"/>
      <c r="G102" s="46"/>
      <c r="H102" s="46"/>
      <c r="I102" s="46"/>
      <c r="J102" s="46"/>
      <c r="K102" s="46"/>
      <c r="L102" s="46"/>
      <c r="M102" s="46"/>
      <c r="N102" s="46"/>
      <c r="O102" s="46"/>
      <c r="P102" s="46"/>
      <c r="Q102" s="46"/>
    </row>
    <row r="103" spans="1:17" x14ac:dyDescent="0.15">
      <c r="A103" s="46"/>
      <c r="B103" s="46"/>
      <c r="C103" s="46"/>
      <c r="D103" s="46"/>
      <c r="E103" s="46"/>
      <c r="F103" s="46"/>
      <c r="G103" s="46"/>
      <c r="H103" s="46"/>
      <c r="I103" s="46"/>
      <c r="J103" s="46"/>
      <c r="K103" s="46"/>
      <c r="L103" s="46"/>
      <c r="M103" s="46"/>
      <c r="N103" s="46"/>
      <c r="O103" s="46"/>
      <c r="P103" s="46"/>
      <c r="Q103" s="46"/>
    </row>
    <row r="104" spans="1:17" x14ac:dyDescent="0.15">
      <c r="A104" s="46"/>
      <c r="B104" s="46"/>
      <c r="C104" s="46"/>
      <c r="D104" s="46"/>
      <c r="E104" s="46"/>
      <c r="F104" s="46"/>
      <c r="G104" s="46"/>
      <c r="H104" s="46"/>
      <c r="I104" s="46"/>
      <c r="J104" s="46"/>
      <c r="K104" s="46"/>
      <c r="L104" s="46"/>
      <c r="M104" s="46"/>
      <c r="N104" s="46"/>
      <c r="O104" s="46"/>
      <c r="P104" s="46"/>
      <c r="Q104" s="46"/>
    </row>
    <row r="105" spans="1:17" x14ac:dyDescent="0.15">
      <c r="A105" s="46"/>
      <c r="B105" s="46"/>
      <c r="C105" s="46"/>
      <c r="D105" s="46"/>
      <c r="E105" s="46"/>
      <c r="F105" s="46"/>
      <c r="G105" s="46"/>
      <c r="H105" s="46"/>
      <c r="I105" s="46"/>
      <c r="J105" s="46"/>
      <c r="K105" s="46"/>
      <c r="L105" s="46"/>
      <c r="M105" s="46"/>
      <c r="N105" s="46"/>
      <c r="O105" s="46"/>
      <c r="P105" s="46"/>
      <c r="Q105" s="46"/>
    </row>
    <row r="106" spans="1:17" x14ac:dyDescent="0.15">
      <c r="A106" s="46"/>
      <c r="B106" s="46"/>
      <c r="C106" s="46"/>
      <c r="D106" s="46"/>
      <c r="E106" s="46"/>
      <c r="F106" s="46"/>
      <c r="G106" s="46"/>
      <c r="H106" s="46"/>
      <c r="I106" s="46"/>
      <c r="J106" s="46"/>
      <c r="K106" s="46"/>
      <c r="L106" s="46"/>
      <c r="M106" s="46"/>
      <c r="N106" s="46"/>
      <c r="O106" s="46"/>
      <c r="P106" s="46"/>
      <c r="Q106" s="46"/>
    </row>
    <row r="107" spans="1:17" x14ac:dyDescent="0.15">
      <c r="A107" s="46"/>
      <c r="B107" s="46"/>
      <c r="C107" s="46"/>
      <c r="D107" s="46"/>
      <c r="E107" s="46"/>
      <c r="F107" s="46"/>
      <c r="G107" s="46"/>
      <c r="H107" s="46"/>
      <c r="I107" s="46"/>
      <c r="J107" s="46"/>
      <c r="K107" s="46"/>
      <c r="L107" s="46"/>
      <c r="M107" s="46"/>
      <c r="N107" s="46"/>
      <c r="O107" s="46"/>
      <c r="P107" s="46"/>
      <c r="Q107" s="46"/>
    </row>
    <row r="108" spans="1:17" x14ac:dyDescent="0.15">
      <c r="A108" s="46"/>
      <c r="B108" s="46"/>
      <c r="C108" s="46"/>
      <c r="D108" s="46"/>
      <c r="E108" s="46"/>
      <c r="F108" s="46"/>
      <c r="G108" s="46"/>
      <c r="H108" s="46"/>
      <c r="I108" s="46"/>
      <c r="J108" s="46"/>
      <c r="K108" s="46"/>
      <c r="L108" s="46"/>
      <c r="M108" s="46"/>
      <c r="N108" s="46"/>
      <c r="O108" s="46"/>
      <c r="P108" s="46"/>
      <c r="Q108" s="46"/>
    </row>
    <row r="109" spans="1:17" x14ac:dyDescent="0.15">
      <c r="A109" s="46"/>
      <c r="B109" s="46"/>
      <c r="C109" s="46"/>
      <c r="D109" s="46"/>
      <c r="E109" s="46"/>
      <c r="F109" s="46"/>
      <c r="G109" s="46"/>
      <c r="H109" s="46"/>
      <c r="I109" s="46"/>
      <c r="J109" s="46"/>
      <c r="K109" s="46"/>
      <c r="L109" s="46"/>
      <c r="M109" s="46"/>
      <c r="N109" s="46"/>
      <c r="O109" s="46"/>
      <c r="P109" s="46"/>
      <c r="Q109" s="46"/>
    </row>
    <row r="110" spans="1:17" x14ac:dyDescent="0.15">
      <c r="A110" s="46"/>
      <c r="B110" s="46"/>
      <c r="C110" s="46"/>
      <c r="D110" s="46"/>
      <c r="E110" s="46"/>
      <c r="F110" s="46"/>
      <c r="G110" s="46"/>
      <c r="H110" s="46"/>
      <c r="I110" s="46"/>
      <c r="J110" s="46"/>
      <c r="K110" s="46"/>
      <c r="L110" s="46"/>
      <c r="M110" s="46"/>
      <c r="N110" s="46"/>
      <c r="O110" s="46"/>
      <c r="P110" s="46"/>
      <c r="Q110" s="46"/>
    </row>
    <row r="111" spans="1:17" x14ac:dyDescent="0.15">
      <c r="A111" s="46"/>
      <c r="B111" s="46"/>
      <c r="C111" s="46"/>
      <c r="D111" s="46"/>
      <c r="E111" s="46"/>
      <c r="F111" s="46"/>
      <c r="G111" s="46"/>
      <c r="H111" s="46"/>
      <c r="I111" s="46"/>
      <c r="J111" s="46"/>
      <c r="K111" s="46"/>
      <c r="L111" s="46"/>
      <c r="M111" s="46"/>
      <c r="N111" s="46"/>
      <c r="O111" s="46"/>
      <c r="P111" s="46"/>
      <c r="Q111" s="46"/>
    </row>
    <row r="112" spans="1:17" x14ac:dyDescent="0.15">
      <c r="A112" s="46"/>
      <c r="B112" s="46"/>
      <c r="C112" s="46"/>
      <c r="D112" s="46"/>
      <c r="E112" s="46"/>
      <c r="F112" s="46"/>
      <c r="G112" s="46"/>
      <c r="H112" s="46"/>
      <c r="I112" s="46"/>
      <c r="J112" s="46"/>
      <c r="K112" s="46"/>
      <c r="L112" s="46"/>
      <c r="M112" s="46"/>
      <c r="N112" s="46"/>
      <c r="O112" s="46"/>
      <c r="P112" s="46"/>
      <c r="Q112" s="46"/>
    </row>
    <row r="113" spans="1:17" x14ac:dyDescent="0.15">
      <c r="A113" s="46"/>
      <c r="B113" s="46"/>
      <c r="C113" s="46"/>
      <c r="D113" s="46"/>
      <c r="E113" s="46"/>
      <c r="F113" s="46"/>
      <c r="G113" s="46"/>
      <c r="H113" s="46"/>
      <c r="I113" s="46"/>
      <c r="J113" s="46"/>
      <c r="K113" s="46"/>
      <c r="L113" s="46"/>
      <c r="M113" s="46"/>
      <c r="N113" s="46"/>
      <c r="O113" s="46"/>
      <c r="P113" s="46"/>
      <c r="Q113" s="46"/>
    </row>
    <row r="114" spans="1:17" x14ac:dyDescent="0.15">
      <c r="A114" s="46"/>
      <c r="B114" s="46"/>
      <c r="C114" s="46"/>
      <c r="D114" s="46"/>
      <c r="E114" s="46"/>
      <c r="F114" s="46"/>
      <c r="G114" s="46"/>
      <c r="H114" s="46"/>
      <c r="I114" s="46"/>
      <c r="J114" s="46"/>
      <c r="K114" s="46"/>
      <c r="L114" s="46"/>
      <c r="M114" s="46"/>
      <c r="N114" s="46"/>
      <c r="O114" s="46"/>
      <c r="P114" s="46"/>
      <c r="Q114" s="46"/>
    </row>
    <row r="115" spans="1:17" x14ac:dyDescent="0.15">
      <c r="A115" s="46"/>
      <c r="B115" s="46"/>
      <c r="C115" s="46"/>
      <c r="D115" s="46"/>
      <c r="E115" s="46"/>
      <c r="F115" s="46"/>
      <c r="G115" s="46"/>
      <c r="H115" s="46"/>
      <c r="I115" s="46"/>
      <c r="J115" s="46"/>
      <c r="K115" s="46"/>
      <c r="L115" s="46"/>
      <c r="M115" s="46"/>
      <c r="N115" s="46"/>
      <c r="O115" s="46"/>
      <c r="P115" s="46"/>
      <c r="Q115" s="46"/>
    </row>
    <row r="116" spans="1:17" x14ac:dyDescent="0.15">
      <c r="A116" s="46"/>
      <c r="B116" s="46"/>
      <c r="C116" s="46"/>
      <c r="D116" s="46"/>
      <c r="E116" s="46"/>
      <c r="F116" s="46"/>
      <c r="G116" s="46"/>
      <c r="H116" s="46"/>
      <c r="I116" s="46"/>
      <c r="J116" s="46"/>
      <c r="K116" s="46"/>
      <c r="L116" s="46"/>
      <c r="M116" s="46"/>
      <c r="N116" s="46"/>
      <c r="O116" s="46"/>
      <c r="P116" s="46"/>
      <c r="Q116" s="46"/>
    </row>
    <row r="117" spans="1:17" x14ac:dyDescent="0.15">
      <c r="A117" s="46"/>
      <c r="B117" s="46"/>
      <c r="C117" s="46"/>
      <c r="D117" s="46"/>
      <c r="E117" s="46"/>
      <c r="F117" s="46"/>
      <c r="G117" s="46"/>
      <c r="H117" s="46"/>
      <c r="I117" s="46"/>
      <c r="J117" s="46"/>
      <c r="K117" s="46"/>
      <c r="L117" s="46"/>
      <c r="M117" s="46"/>
      <c r="N117" s="46"/>
      <c r="O117" s="46"/>
      <c r="P117" s="46"/>
      <c r="Q117" s="46"/>
    </row>
    <row r="118" spans="1:17" x14ac:dyDescent="0.15">
      <c r="A118" s="46"/>
      <c r="B118" s="46"/>
      <c r="C118" s="46"/>
      <c r="D118" s="46"/>
      <c r="E118" s="46"/>
      <c r="F118" s="46"/>
      <c r="G118" s="46"/>
      <c r="H118" s="46"/>
      <c r="I118" s="46"/>
      <c r="J118" s="46"/>
      <c r="K118" s="46"/>
      <c r="L118" s="46"/>
      <c r="M118" s="46"/>
      <c r="N118" s="46"/>
      <c r="O118" s="46"/>
      <c r="P118" s="46"/>
      <c r="Q118" s="46"/>
    </row>
    <row r="119" spans="1:17" x14ac:dyDescent="0.15">
      <c r="A119" s="46"/>
      <c r="B119" s="46"/>
      <c r="C119" s="46"/>
      <c r="D119" s="46"/>
      <c r="E119" s="46"/>
      <c r="F119" s="46"/>
      <c r="G119" s="46"/>
      <c r="H119" s="46"/>
      <c r="I119" s="46"/>
      <c r="J119" s="46"/>
      <c r="K119" s="46"/>
      <c r="L119" s="46"/>
      <c r="M119" s="46"/>
      <c r="N119" s="46"/>
      <c r="O119" s="46"/>
      <c r="P119" s="46"/>
      <c r="Q119" s="46"/>
    </row>
    <row r="120" spans="1:17" x14ac:dyDescent="0.15">
      <c r="A120" s="46"/>
      <c r="B120" s="46"/>
      <c r="C120" s="46"/>
      <c r="D120" s="46"/>
      <c r="E120" s="46"/>
      <c r="F120" s="46"/>
      <c r="G120" s="46"/>
      <c r="H120" s="46"/>
      <c r="I120" s="46"/>
      <c r="J120" s="46"/>
      <c r="K120" s="46"/>
      <c r="L120" s="46"/>
      <c r="M120" s="46"/>
      <c r="N120" s="46"/>
      <c r="O120" s="46"/>
      <c r="P120" s="46"/>
      <c r="Q120" s="46"/>
    </row>
    <row r="121" spans="1:17" x14ac:dyDescent="0.15">
      <c r="A121" s="46"/>
      <c r="B121" s="46"/>
      <c r="C121" s="46"/>
      <c r="D121" s="46"/>
      <c r="E121" s="46"/>
      <c r="F121" s="46"/>
      <c r="G121" s="46"/>
      <c r="H121" s="46"/>
      <c r="I121" s="46"/>
      <c r="J121" s="46"/>
      <c r="K121" s="46"/>
      <c r="L121" s="46"/>
      <c r="M121" s="46"/>
      <c r="N121" s="46"/>
      <c r="O121" s="46"/>
      <c r="P121" s="46"/>
      <c r="Q121" s="46"/>
    </row>
    <row r="122" spans="1:17" x14ac:dyDescent="0.15">
      <c r="A122" s="46"/>
      <c r="B122" s="46"/>
      <c r="C122" s="46"/>
      <c r="D122" s="46"/>
      <c r="E122" s="46"/>
      <c r="F122" s="46"/>
      <c r="G122" s="46"/>
      <c r="H122" s="46"/>
      <c r="I122" s="46"/>
      <c r="J122" s="46"/>
      <c r="K122" s="46"/>
      <c r="L122" s="46"/>
      <c r="M122" s="46"/>
      <c r="N122" s="46"/>
      <c r="O122" s="46"/>
      <c r="P122" s="46"/>
      <c r="Q122" s="46"/>
    </row>
    <row r="123" spans="1:17" x14ac:dyDescent="0.15">
      <c r="A123" s="46"/>
      <c r="B123" s="46"/>
      <c r="C123" s="46"/>
      <c r="D123" s="46"/>
      <c r="E123" s="46"/>
      <c r="F123" s="46"/>
      <c r="G123" s="46"/>
      <c r="H123" s="46"/>
      <c r="I123" s="46"/>
      <c r="J123" s="46"/>
      <c r="K123" s="46"/>
      <c r="L123" s="46"/>
      <c r="M123" s="46"/>
      <c r="N123" s="46"/>
      <c r="O123" s="46"/>
      <c r="P123" s="46"/>
      <c r="Q123" s="46"/>
    </row>
    <row r="124" spans="1:17" x14ac:dyDescent="0.15">
      <c r="A124" s="46"/>
      <c r="B124" s="46"/>
      <c r="C124" s="46"/>
      <c r="D124" s="46"/>
      <c r="E124" s="46"/>
      <c r="F124" s="46"/>
      <c r="G124" s="46"/>
      <c r="H124" s="46"/>
      <c r="I124" s="46"/>
      <c r="J124" s="46"/>
      <c r="K124" s="46"/>
      <c r="L124" s="46"/>
      <c r="M124" s="46"/>
      <c r="N124" s="46"/>
      <c r="O124" s="46"/>
      <c r="P124" s="46"/>
      <c r="Q124" s="46"/>
    </row>
    <row r="125" spans="1:17" x14ac:dyDescent="0.15">
      <c r="A125" s="46"/>
      <c r="B125" s="46"/>
      <c r="C125" s="46"/>
      <c r="D125" s="46"/>
      <c r="E125" s="46"/>
      <c r="F125" s="46"/>
      <c r="G125" s="46"/>
      <c r="H125" s="46"/>
      <c r="I125" s="46"/>
      <c r="J125" s="46"/>
      <c r="K125" s="46"/>
      <c r="L125" s="46"/>
      <c r="M125" s="46"/>
      <c r="N125" s="46"/>
      <c r="O125" s="46"/>
      <c r="P125" s="46"/>
      <c r="Q125" s="46"/>
    </row>
    <row r="126" spans="1:17" x14ac:dyDescent="0.15">
      <c r="A126" s="46"/>
      <c r="B126" s="46"/>
      <c r="C126" s="46"/>
      <c r="D126" s="46"/>
      <c r="E126" s="46"/>
      <c r="F126" s="46"/>
      <c r="G126" s="46"/>
      <c r="H126" s="46"/>
      <c r="I126" s="46"/>
      <c r="J126" s="46"/>
      <c r="K126" s="46"/>
      <c r="L126" s="46"/>
      <c r="M126" s="46"/>
      <c r="N126" s="46"/>
      <c r="O126" s="46"/>
      <c r="P126" s="46"/>
      <c r="Q126" s="46"/>
    </row>
    <row r="127" spans="1:17" x14ac:dyDescent="0.15">
      <c r="A127" s="46"/>
      <c r="B127" s="46"/>
      <c r="C127" s="46"/>
      <c r="D127" s="46"/>
      <c r="E127" s="46"/>
      <c r="F127" s="46"/>
      <c r="G127" s="46"/>
      <c r="H127" s="46"/>
      <c r="I127" s="46"/>
      <c r="J127" s="46"/>
      <c r="K127" s="46"/>
      <c r="L127" s="46"/>
      <c r="M127" s="46"/>
      <c r="N127" s="46"/>
      <c r="O127" s="46"/>
      <c r="P127" s="46"/>
      <c r="Q127" s="46"/>
    </row>
    <row r="128" spans="1:17" x14ac:dyDescent="0.15">
      <c r="A128" s="46"/>
      <c r="B128" s="46"/>
      <c r="C128" s="46"/>
      <c r="D128" s="46"/>
      <c r="E128" s="46"/>
      <c r="F128" s="46"/>
      <c r="G128" s="46"/>
      <c r="H128" s="46"/>
      <c r="I128" s="46"/>
      <c r="J128" s="46"/>
      <c r="K128" s="46"/>
      <c r="L128" s="46"/>
      <c r="M128" s="46"/>
      <c r="N128" s="46"/>
      <c r="O128" s="46"/>
      <c r="P128" s="46"/>
      <c r="Q128" s="46"/>
    </row>
    <row r="129" spans="1:17" x14ac:dyDescent="0.15">
      <c r="A129" s="46"/>
      <c r="B129" s="46"/>
      <c r="C129" s="46"/>
      <c r="D129" s="46"/>
      <c r="E129" s="46"/>
      <c r="F129" s="46"/>
      <c r="G129" s="46"/>
      <c r="H129" s="46"/>
      <c r="I129" s="46"/>
      <c r="J129" s="46"/>
      <c r="K129" s="46"/>
      <c r="L129" s="46"/>
      <c r="M129" s="46"/>
      <c r="N129" s="46"/>
      <c r="O129" s="46"/>
      <c r="P129" s="46"/>
      <c r="Q129" s="46"/>
    </row>
    <row r="130" spans="1:17" x14ac:dyDescent="0.15">
      <c r="A130" s="46"/>
      <c r="B130" s="46"/>
      <c r="C130" s="46"/>
      <c r="D130" s="46"/>
      <c r="E130" s="46"/>
      <c r="F130" s="46"/>
      <c r="G130" s="46"/>
      <c r="H130" s="46"/>
      <c r="I130" s="46"/>
      <c r="J130" s="46"/>
      <c r="K130" s="46"/>
      <c r="L130" s="46"/>
      <c r="M130" s="46"/>
      <c r="N130" s="46"/>
      <c r="O130" s="46"/>
      <c r="P130" s="46"/>
      <c r="Q130" s="46"/>
    </row>
    <row r="131" spans="1:17" x14ac:dyDescent="0.15">
      <c r="A131" s="46"/>
      <c r="B131" s="46"/>
      <c r="C131" s="46"/>
      <c r="D131" s="46"/>
      <c r="E131" s="46"/>
      <c r="F131" s="46"/>
      <c r="G131" s="46"/>
      <c r="H131" s="46"/>
      <c r="I131" s="46"/>
      <c r="J131" s="46"/>
      <c r="K131" s="46"/>
      <c r="L131" s="46"/>
      <c r="M131" s="46"/>
      <c r="N131" s="46"/>
      <c r="O131" s="46"/>
      <c r="P131" s="46"/>
      <c r="Q131" s="46"/>
    </row>
    <row r="132" spans="1:17" x14ac:dyDescent="0.15">
      <c r="A132" s="46"/>
      <c r="B132" s="46"/>
      <c r="C132" s="46"/>
      <c r="D132" s="46"/>
      <c r="E132" s="46"/>
      <c r="F132" s="46"/>
      <c r="G132" s="46"/>
      <c r="H132" s="46"/>
      <c r="I132" s="46"/>
      <c r="J132" s="46"/>
      <c r="K132" s="46"/>
      <c r="L132" s="46"/>
      <c r="M132" s="46"/>
      <c r="N132" s="46"/>
      <c r="O132" s="46"/>
      <c r="P132" s="46"/>
      <c r="Q132" s="46"/>
    </row>
    <row r="133" spans="1:17" x14ac:dyDescent="0.15">
      <c r="A133" s="46"/>
      <c r="B133" s="46"/>
      <c r="C133" s="46"/>
      <c r="D133" s="46"/>
      <c r="E133" s="46"/>
      <c r="F133" s="46"/>
      <c r="G133" s="46"/>
      <c r="H133" s="46"/>
      <c r="I133" s="46"/>
      <c r="J133" s="46"/>
      <c r="K133" s="46"/>
      <c r="L133" s="46"/>
      <c r="M133" s="46"/>
      <c r="N133" s="46"/>
      <c r="O133" s="46"/>
      <c r="P133" s="46"/>
      <c r="Q133" s="46"/>
    </row>
    <row r="134" spans="1:17" x14ac:dyDescent="0.15">
      <c r="A134" s="46"/>
      <c r="B134" s="46"/>
      <c r="C134" s="46"/>
      <c r="D134" s="46"/>
      <c r="E134" s="46"/>
      <c r="F134" s="46"/>
      <c r="G134" s="46"/>
      <c r="H134" s="46"/>
      <c r="I134" s="46"/>
      <c r="J134" s="46"/>
      <c r="K134" s="46"/>
      <c r="L134" s="46"/>
      <c r="M134" s="46"/>
      <c r="N134" s="46"/>
      <c r="O134" s="46"/>
      <c r="P134" s="46"/>
      <c r="Q134" s="46"/>
    </row>
    <row r="135" spans="1:17" x14ac:dyDescent="0.15">
      <c r="A135" s="46"/>
      <c r="B135" s="46"/>
      <c r="C135" s="46"/>
      <c r="D135" s="46"/>
      <c r="E135" s="46"/>
      <c r="F135" s="46"/>
      <c r="G135" s="46"/>
      <c r="H135" s="46"/>
      <c r="I135" s="46"/>
      <c r="J135" s="46"/>
      <c r="K135" s="46"/>
      <c r="L135" s="46"/>
      <c r="M135" s="46"/>
      <c r="N135" s="46"/>
      <c r="O135" s="46"/>
      <c r="P135" s="46"/>
      <c r="Q135" s="46"/>
    </row>
    <row r="136" spans="1:17" x14ac:dyDescent="0.15">
      <c r="A136" s="46"/>
      <c r="B136" s="46"/>
      <c r="C136" s="46"/>
      <c r="D136" s="46"/>
      <c r="E136" s="46"/>
      <c r="F136" s="46"/>
      <c r="G136" s="46"/>
      <c r="H136" s="46"/>
      <c r="I136" s="46"/>
      <c r="J136" s="46"/>
      <c r="K136" s="46"/>
      <c r="L136" s="46"/>
      <c r="M136" s="46"/>
      <c r="N136" s="46"/>
      <c r="O136" s="46"/>
      <c r="P136" s="46"/>
      <c r="Q136" s="46"/>
    </row>
    <row r="137" spans="1:17" x14ac:dyDescent="0.15">
      <c r="A137" s="46"/>
      <c r="B137" s="46"/>
      <c r="C137" s="46"/>
      <c r="D137" s="46"/>
      <c r="E137" s="46"/>
      <c r="F137" s="46"/>
      <c r="G137" s="46"/>
      <c r="H137" s="46"/>
      <c r="I137" s="46"/>
      <c r="J137" s="46"/>
      <c r="K137" s="46"/>
      <c r="L137" s="46"/>
      <c r="M137" s="46"/>
      <c r="N137" s="46"/>
      <c r="O137" s="46"/>
      <c r="P137" s="46"/>
      <c r="Q137" s="46"/>
    </row>
    <row r="138" spans="1:17" x14ac:dyDescent="0.15">
      <c r="A138" s="46"/>
      <c r="B138" s="46"/>
      <c r="C138" s="46"/>
      <c r="D138" s="46"/>
      <c r="E138" s="46"/>
      <c r="F138" s="46"/>
      <c r="G138" s="46"/>
      <c r="H138" s="46"/>
      <c r="I138" s="46"/>
      <c r="J138" s="46"/>
      <c r="K138" s="46"/>
      <c r="L138" s="46"/>
      <c r="M138" s="46"/>
      <c r="N138" s="46"/>
      <c r="O138" s="46"/>
      <c r="P138" s="46"/>
      <c r="Q138" s="46"/>
    </row>
    <row r="139" spans="1:17" x14ac:dyDescent="0.15">
      <c r="A139" s="46"/>
      <c r="B139" s="46"/>
      <c r="C139" s="46"/>
      <c r="D139" s="46"/>
      <c r="E139" s="46"/>
      <c r="F139" s="46"/>
      <c r="G139" s="46"/>
      <c r="H139" s="46"/>
      <c r="I139" s="46"/>
      <c r="J139" s="46"/>
      <c r="K139" s="46"/>
      <c r="L139" s="46"/>
      <c r="M139" s="46"/>
      <c r="N139" s="46"/>
      <c r="O139" s="46"/>
      <c r="P139" s="46"/>
      <c r="Q139" s="46"/>
    </row>
    <row r="140" spans="1:17" x14ac:dyDescent="0.15">
      <c r="A140" s="46"/>
      <c r="B140" s="46"/>
      <c r="C140" s="46"/>
      <c r="D140" s="46"/>
      <c r="E140" s="46"/>
      <c r="F140" s="46"/>
      <c r="G140" s="46"/>
      <c r="H140" s="46"/>
      <c r="I140" s="46"/>
      <c r="J140" s="46"/>
      <c r="K140" s="46"/>
      <c r="L140" s="46"/>
      <c r="M140" s="46"/>
      <c r="N140" s="46"/>
      <c r="O140" s="46"/>
      <c r="P140" s="46"/>
      <c r="Q140" s="46"/>
    </row>
    <row r="141" spans="1:17" x14ac:dyDescent="0.15">
      <c r="A141" s="46"/>
      <c r="B141" s="46"/>
      <c r="C141" s="46"/>
      <c r="D141" s="46"/>
      <c r="E141" s="46"/>
      <c r="F141" s="46"/>
      <c r="G141" s="46"/>
      <c r="H141" s="46"/>
      <c r="I141" s="46"/>
      <c r="J141" s="46"/>
      <c r="K141" s="46"/>
      <c r="L141" s="46"/>
      <c r="M141" s="46"/>
      <c r="N141" s="46"/>
      <c r="O141" s="46"/>
      <c r="P141" s="46"/>
      <c r="Q141" s="46"/>
    </row>
    <row r="142" spans="1:17" x14ac:dyDescent="0.15">
      <c r="A142" s="46"/>
      <c r="B142" s="46"/>
      <c r="C142" s="46"/>
      <c r="D142" s="46"/>
      <c r="E142" s="46"/>
      <c r="F142" s="46"/>
      <c r="G142" s="46"/>
      <c r="H142" s="46"/>
      <c r="I142" s="46"/>
      <c r="J142" s="46"/>
      <c r="K142" s="46"/>
      <c r="L142" s="46"/>
      <c r="M142" s="46"/>
      <c r="N142" s="46"/>
      <c r="O142" s="46"/>
      <c r="P142" s="46"/>
      <c r="Q142" s="46"/>
    </row>
    <row r="143" spans="1:17" x14ac:dyDescent="0.15">
      <c r="A143" s="46"/>
      <c r="B143" s="46"/>
      <c r="C143" s="46"/>
      <c r="D143" s="46"/>
      <c r="E143" s="46"/>
      <c r="F143" s="46"/>
      <c r="G143" s="46"/>
      <c r="H143" s="46"/>
      <c r="I143" s="46"/>
      <c r="J143" s="46"/>
      <c r="K143" s="46"/>
      <c r="L143" s="46"/>
      <c r="M143" s="46"/>
      <c r="N143" s="46"/>
      <c r="O143" s="46"/>
      <c r="P143" s="46"/>
      <c r="Q143" s="46"/>
    </row>
    <row r="144" spans="1:17" x14ac:dyDescent="0.15">
      <c r="A144" s="46"/>
      <c r="B144" s="46"/>
      <c r="C144" s="46"/>
      <c r="D144" s="46"/>
      <c r="E144" s="46"/>
      <c r="F144" s="46"/>
      <c r="G144" s="46"/>
      <c r="H144" s="46"/>
      <c r="I144" s="46"/>
      <c r="J144" s="46"/>
      <c r="K144" s="46"/>
      <c r="L144" s="46"/>
      <c r="M144" s="46"/>
      <c r="N144" s="46"/>
      <c r="O144" s="46"/>
      <c r="P144" s="46"/>
      <c r="Q144" s="46"/>
    </row>
    <row r="145" spans="1:17" x14ac:dyDescent="0.15">
      <c r="A145" s="46"/>
      <c r="B145" s="46"/>
      <c r="C145" s="46"/>
      <c r="D145" s="46"/>
      <c r="E145" s="46"/>
      <c r="F145" s="46"/>
      <c r="G145" s="46"/>
      <c r="H145" s="46"/>
      <c r="I145" s="46"/>
      <c r="J145" s="46"/>
      <c r="K145" s="46"/>
      <c r="L145" s="46"/>
      <c r="M145" s="46"/>
      <c r="N145" s="46"/>
      <c r="O145" s="46"/>
      <c r="P145" s="46"/>
      <c r="Q145" s="46"/>
    </row>
    <row r="146" spans="1:17" x14ac:dyDescent="0.15">
      <c r="A146" s="46"/>
      <c r="B146" s="46"/>
      <c r="C146" s="46"/>
      <c r="D146" s="46"/>
      <c r="E146" s="46"/>
      <c r="F146" s="46"/>
      <c r="G146" s="46"/>
      <c r="H146" s="46"/>
      <c r="I146" s="46"/>
      <c r="J146" s="46"/>
      <c r="K146" s="46"/>
      <c r="L146" s="46"/>
      <c r="M146" s="46"/>
      <c r="N146" s="46"/>
      <c r="O146" s="46"/>
      <c r="P146" s="46"/>
      <c r="Q146" s="46"/>
    </row>
    <row r="147" spans="1:17" x14ac:dyDescent="0.15">
      <c r="A147" s="46"/>
      <c r="B147" s="46"/>
      <c r="C147" s="46"/>
      <c r="D147" s="46"/>
      <c r="E147" s="46"/>
      <c r="F147" s="46"/>
      <c r="G147" s="46"/>
      <c r="H147" s="46"/>
      <c r="I147" s="46"/>
      <c r="J147" s="46"/>
      <c r="K147" s="46"/>
      <c r="L147" s="46"/>
      <c r="M147" s="46"/>
      <c r="N147" s="46"/>
      <c r="O147" s="46"/>
      <c r="P147" s="46"/>
      <c r="Q147" s="46"/>
    </row>
    <row r="148" spans="1:17" x14ac:dyDescent="0.15">
      <c r="A148" s="46"/>
      <c r="B148" s="46"/>
      <c r="C148" s="46"/>
      <c r="D148" s="46"/>
      <c r="E148" s="46"/>
      <c r="F148" s="46"/>
      <c r="G148" s="46"/>
      <c r="H148" s="46"/>
      <c r="I148" s="46"/>
      <c r="J148" s="46"/>
      <c r="K148" s="46"/>
      <c r="L148" s="46"/>
      <c r="M148" s="46"/>
      <c r="N148" s="46"/>
      <c r="O148" s="46"/>
      <c r="P148" s="46"/>
      <c r="Q148" s="46"/>
    </row>
    <row r="149" spans="1:17" x14ac:dyDescent="0.15">
      <c r="A149" s="46"/>
      <c r="B149" s="46"/>
      <c r="C149" s="46"/>
      <c r="D149" s="46"/>
      <c r="E149" s="46"/>
      <c r="F149" s="46"/>
      <c r="G149" s="46"/>
      <c r="H149" s="46"/>
      <c r="I149" s="46"/>
      <c r="J149" s="46"/>
      <c r="K149" s="46"/>
      <c r="L149" s="46"/>
      <c r="M149" s="46"/>
      <c r="N149" s="46"/>
      <c r="O149" s="46"/>
      <c r="P149" s="46"/>
      <c r="Q149" s="46"/>
    </row>
    <row r="150" spans="1:17" x14ac:dyDescent="0.15">
      <c r="A150" s="46"/>
      <c r="B150" s="46"/>
      <c r="C150" s="46"/>
      <c r="D150" s="46"/>
      <c r="E150" s="46"/>
      <c r="F150" s="46"/>
      <c r="G150" s="46"/>
      <c r="H150" s="46"/>
      <c r="I150" s="46"/>
      <c r="J150" s="46"/>
      <c r="K150" s="46"/>
      <c r="L150" s="46"/>
      <c r="M150" s="46"/>
      <c r="N150" s="46"/>
      <c r="O150" s="46"/>
      <c r="P150" s="46"/>
      <c r="Q150" s="46"/>
    </row>
    <row r="151" spans="1:17" x14ac:dyDescent="0.15">
      <c r="A151" s="46"/>
      <c r="B151" s="46"/>
      <c r="C151" s="46"/>
      <c r="D151" s="46"/>
      <c r="E151" s="46"/>
      <c r="F151" s="46"/>
      <c r="G151" s="46"/>
      <c r="H151" s="46"/>
      <c r="I151" s="46"/>
      <c r="J151" s="46"/>
      <c r="K151" s="46"/>
      <c r="L151" s="46"/>
      <c r="M151" s="46"/>
      <c r="N151" s="46"/>
      <c r="O151" s="46"/>
      <c r="P151" s="46"/>
      <c r="Q151" s="46"/>
    </row>
    <row r="152" spans="1:17" x14ac:dyDescent="0.15">
      <c r="C152" s="46"/>
    </row>
    <row r="153" spans="1:17" x14ac:dyDescent="0.15">
      <c r="C153" s="46"/>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7"/>
  <sheetViews>
    <sheetView topLeftCell="A3" zoomScale="140" zoomScaleNormal="140" zoomScalePageLayoutView="140" workbookViewId="0">
      <selection activeCell="A16" sqref="A16:XFD16"/>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11"/>
      <c r="C1" s="111"/>
      <c r="D1" s="111"/>
      <c r="E1" s="111"/>
      <c r="F1" s="111"/>
      <c r="G1" s="111"/>
    </row>
    <row r="2" spans="1:8" ht="24" customHeight="1" x14ac:dyDescent="0.15">
      <c r="A2" s="4"/>
      <c r="B2" s="110" t="str">
        <f>Intro!E5</f>
        <v>Mon Produit</v>
      </c>
      <c r="C2" s="110"/>
      <c r="D2" s="110"/>
      <c r="E2" s="110"/>
      <c r="F2" s="110"/>
      <c r="G2" s="110"/>
      <c r="H2" s="110"/>
    </row>
    <row r="3" spans="1:8" ht="37.5" customHeight="1" thickBot="1" x14ac:dyDescent="0.2">
      <c r="A3" s="4"/>
      <c r="C3" s="55" t="s">
        <v>45</v>
      </c>
      <c r="E3" s="5" t="s">
        <v>27</v>
      </c>
      <c r="F3" s="6"/>
      <c r="G3" s="56" t="s">
        <v>26</v>
      </c>
      <c r="H3" s="7"/>
    </row>
    <row r="4" spans="1:8" x14ac:dyDescent="0.15">
      <c r="A4" s="1"/>
      <c r="B4" s="28" t="s">
        <v>1</v>
      </c>
      <c r="C4" s="29" t="s">
        <v>29</v>
      </c>
      <c r="D4" s="30" t="s">
        <v>0</v>
      </c>
      <c r="E4" s="30" t="s">
        <v>28</v>
      </c>
      <c r="F4" s="30" t="s">
        <v>30</v>
      </c>
      <c r="G4" s="31" t="s">
        <v>31</v>
      </c>
    </row>
    <row r="5" spans="1:8" x14ac:dyDescent="0.15">
      <c r="A5" s="1"/>
      <c r="B5" s="2">
        <v>1</v>
      </c>
      <c r="C5" s="88" t="s">
        <v>59</v>
      </c>
      <c r="D5" s="51" t="s">
        <v>63</v>
      </c>
      <c r="E5" s="72" t="s">
        <v>33</v>
      </c>
      <c r="F5" s="49">
        <v>100</v>
      </c>
      <c r="G5" s="53">
        <v>1</v>
      </c>
    </row>
    <row r="6" spans="1:8" x14ac:dyDescent="0.15">
      <c r="B6" s="2">
        <v>2</v>
      </c>
      <c r="C6" s="88" t="s">
        <v>60</v>
      </c>
      <c r="D6" s="51" t="s">
        <v>62</v>
      </c>
      <c r="E6" s="52" t="s">
        <v>33</v>
      </c>
      <c r="F6" s="3">
        <v>95</v>
      </c>
      <c r="G6" s="54">
        <v>1</v>
      </c>
    </row>
    <row r="7" spans="1:8" x14ac:dyDescent="0.15">
      <c r="B7" s="2">
        <v>3</v>
      </c>
      <c r="C7" s="88" t="s">
        <v>91</v>
      </c>
      <c r="D7" s="89" t="s">
        <v>92</v>
      </c>
      <c r="E7" s="90" t="s">
        <v>118</v>
      </c>
      <c r="F7" s="3">
        <v>90</v>
      </c>
      <c r="G7" s="54">
        <v>1</v>
      </c>
    </row>
    <row r="8" spans="1:8" x14ac:dyDescent="0.15">
      <c r="B8" s="2">
        <v>4</v>
      </c>
      <c r="C8" s="88" t="s">
        <v>102</v>
      </c>
      <c r="D8" s="89" t="s">
        <v>103</v>
      </c>
      <c r="E8" s="90" t="s">
        <v>57</v>
      </c>
      <c r="F8" s="3">
        <v>85</v>
      </c>
      <c r="G8" s="54">
        <v>1</v>
      </c>
    </row>
    <row r="9" spans="1:8" x14ac:dyDescent="0.15">
      <c r="B9" s="2">
        <v>5</v>
      </c>
      <c r="C9" s="88" t="s">
        <v>66</v>
      </c>
      <c r="D9" s="89" t="s">
        <v>67</v>
      </c>
      <c r="E9" s="90" t="s">
        <v>33</v>
      </c>
      <c r="F9" s="3">
        <v>80</v>
      </c>
      <c r="G9" s="92" t="s">
        <v>79</v>
      </c>
    </row>
    <row r="10" spans="1:8" x14ac:dyDescent="0.15">
      <c r="B10" s="2">
        <v>6</v>
      </c>
      <c r="C10" s="88" t="s">
        <v>68</v>
      </c>
      <c r="D10" s="89" t="s">
        <v>69</v>
      </c>
      <c r="E10" s="90" t="s">
        <v>119</v>
      </c>
      <c r="F10" s="3">
        <v>75</v>
      </c>
      <c r="G10" s="54">
        <v>1</v>
      </c>
    </row>
    <row r="11" spans="1:8" x14ac:dyDescent="0.15">
      <c r="B11" s="2">
        <v>7</v>
      </c>
      <c r="C11" s="88" t="s">
        <v>93</v>
      </c>
      <c r="D11" s="89" t="s">
        <v>94</v>
      </c>
      <c r="E11" s="90" t="s">
        <v>32</v>
      </c>
      <c r="F11" s="3">
        <v>98</v>
      </c>
      <c r="G11" s="54">
        <v>1</v>
      </c>
    </row>
    <row r="12" spans="1:8" x14ac:dyDescent="0.15">
      <c r="B12" s="2">
        <v>8</v>
      </c>
      <c r="C12" s="88" t="s">
        <v>90</v>
      </c>
      <c r="D12" s="89" t="s">
        <v>89</v>
      </c>
      <c r="E12" s="90" t="s">
        <v>57</v>
      </c>
      <c r="F12" s="3">
        <v>70</v>
      </c>
      <c r="G12" s="54">
        <v>1</v>
      </c>
    </row>
    <row r="13" spans="1:8" x14ac:dyDescent="0.15">
      <c r="B13" s="2">
        <v>9</v>
      </c>
      <c r="C13" s="88" t="s">
        <v>95</v>
      </c>
      <c r="D13" s="89" t="s">
        <v>96</v>
      </c>
      <c r="E13" s="90" t="s">
        <v>32</v>
      </c>
      <c r="F13" s="3">
        <v>65</v>
      </c>
      <c r="G13" s="54">
        <v>1</v>
      </c>
    </row>
    <row r="14" spans="1:8" x14ac:dyDescent="0.15">
      <c r="B14" s="2">
        <v>10</v>
      </c>
      <c r="C14" s="88" t="s">
        <v>71</v>
      </c>
      <c r="D14" s="89" t="s">
        <v>97</v>
      </c>
      <c r="E14" s="90" t="s">
        <v>57</v>
      </c>
      <c r="F14" s="3">
        <v>60</v>
      </c>
      <c r="G14" s="54">
        <v>1</v>
      </c>
    </row>
    <row r="15" spans="1:8" x14ac:dyDescent="0.15">
      <c r="B15" s="2">
        <v>11</v>
      </c>
      <c r="C15" s="88" t="s">
        <v>98</v>
      </c>
      <c r="D15" s="89" t="s">
        <v>99</v>
      </c>
      <c r="E15" s="90" t="s">
        <v>100</v>
      </c>
      <c r="F15" s="3">
        <v>55</v>
      </c>
      <c r="G15" s="92" t="s">
        <v>122</v>
      </c>
    </row>
    <row r="16" spans="1:8" x14ac:dyDescent="0.15">
      <c r="B16" s="2">
        <v>12</v>
      </c>
      <c r="C16" s="88" t="s">
        <v>114</v>
      </c>
      <c r="D16" s="89" t="s">
        <v>115</v>
      </c>
      <c r="E16" s="90" t="s">
        <v>100</v>
      </c>
      <c r="F16" s="3">
        <v>50</v>
      </c>
      <c r="G16" s="92" t="s">
        <v>122</v>
      </c>
    </row>
    <row r="17" spans="2:7" x14ac:dyDescent="0.15">
      <c r="B17" s="2">
        <v>13</v>
      </c>
      <c r="C17" s="50" t="s">
        <v>140</v>
      </c>
      <c r="D17" s="51" t="s">
        <v>141</v>
      </c>
      <c r="E17" s="52" t="s">
        <v>57</v>
      </c>
      <c r="F17" s="3">
        <v>48</v>
      </c>
      <c r="G17" s="92">
        <v>1</v>
      </c>
    </row>
    <row r="18" spans="2:7" x14ac:dyDescent="0.15">
      <c r="B18" s="2">
        <v>14</v>
      </c>
      <c r="C18" s="88" t="s">
        <v>104</v>
      </c>
      <c r="D18" s="89" t="s">
        <v>105</v>
      </c>
      <c r="E18" s="90" t="s">
        <v>57</v>
      </c>
      <c r="F18" s="3">
        <v>45</v>
      </c>
      <c r="G18" s="54">
        <v>1</v>
      </c>
    </row>
    <row r="19" spans="2:7" x14ac:dyDescent="0.15">
      <c r="B19" s="2">
        <v>15</v>
      </c>
      <c r="C19" s="88" t="s">
        <v>101</v>
      </c>
      <c r="D19" s="89" t="s">
        <v>106</v>
      </c>
      <c r="E19" s="90" t="s">
        <v>57</v>
      </c>
      <c r="F19" s="3">
        <v>40</v>
      </c>
      <c r="G19" s="54">
        <v>2</v>
      </c>
    </row>
    <row r="20" spans="2:7" x14ac:dyDescent="0.15">
      <c r="B20" s="2">
        <v>16</v>
      </c>
      <c r="C20" s="88" t="s">
        <v>61</v>
      </c>
      <c r="D20" s="89" t="s">
        <v>107</v>
      </c>
      <c r="E20" s="90" t="s">
        <v>57</v>
      </c>
      <c r="F20" s="3">
        <v>35</v>
      </c>
      <c r="G20" s="54">
        <v>2</v>
      </c>
    </row>
    <row r="21" spans="2:7" x14ac:dyDescent="0.15">
      <c r="B21" s="2">
        <v>17</v>
      </c>
      <c r="C21" s="50" t="s">
        <v>138</v>
      </c>
      <c r="D21" s="51" t="s">
        <v>139</v>
      </c>
      <c r="E21" s="52" t="s">
        <v>57</v>
      </c>
      <c r="F21" s="3">
        <v>34</v>
      </c>
      <c r="G21" s="54">
        <v>2</v>
      </c>
    </row>
    <row r="22" spans="2:7" x14ac:dyDescent="0.15">
      <c r="B22" s="2">
        <v>18</v>
      </c>
      <c r="C22" s="88" t="s">
        <v>112</v>
      </c>
      <c r="D22" s="89" t="s">
        <v>113</v>
      </c>
      <c r="E22" s="90" t="s">
        <v>57</v>
      </c>
      <c r="F22" s="3">
        <v>30</v>
      </c>
      <c r="G22" s="54">
        <v>3</v>
      </c>
    </row>
    <row r="23" spans="2:7" x14ac:dyDescent="0.15">
      <c r="B23" s="2">
        <v>19</v>
      </c>
      <c r="C23" s="88" t="s">
        <v>86</v>
      </c>
      <c r="D23" s="89" t="s">
        <v>85</v>
      </c>
      <c r="E23" s="90" t="s">
        <v>57</v>
      </c>
      <c r="F23" s="3">
        <v>72</v>
      </c>
      <c r="G23" s="92" t="s">
        <v>80</v>
      </c>
    </row>
    <row r="24" spans="2:7" x14ac:dyDescent="0.15">
      <c r="B24" s="2">
        <v>20</v>
      </c>
      <c r="C24" s="88" t="s">
        <v>82</v>
      </c>
      <c r="D24" s="89" t="s">
        <v>83</v>
      </c>
      <c r="E24" s="90" t="s">
        <v>120</v>
      </c>
      <c r="F24" s="3">
        <v>83</v>
      </c>
      <c r="G24" s="92" t="s">
        <v>80</v>
      </c>
    </row>
    <row r="25" spans="2:7" x14ac:dyDescent="0.15">
      <c r="B25" s="2">
        <v>21</v>
      </c>
      <c r="C25" s="88" t="s">
        <v>81</v>
      </c>
      <c r="D25" s="89" t="s">
        <v>84</v>
      </c>
      <c r="E25" s="90" t="s">
        <v>57</v>
      </c>
      <c r="F25" s="3">
        <v>81</v>
      </c>
      <c r="G25" s="92" t="s">
        <v>80</v>
      </c>
    </row>
    <row r="26" spans="2:7" x14ac:dyDescent="0.15">
      <c r="B26" s="2">
        <v>22</v>
      </c>
      <c r="C26" s="50" t="s">
        <v>134</v>
      </c>
      <c r="D26" s="51" t="s">
        <v>135</v>
      </c>
      <c r="E26" s="52" t="s">
        <v>57</v>
      </c>
      <c r="F26" s="3">
        <v>28</v>
      </c>
      <c r="G26" s="92">
        <v>3</v>
      </c>
    </row>
    <row r="27" spans="2:7" x14ac:dyDescent="0.15">
      <c r="B27" s="2">
        <v>23</v>
      </c>
      <c r="C27" s="88" t="s">
        <v>110</v>
      </c>
      <c r="D27" s="89" t="s">
        <v>108</v>
      </c>
      <c r="E27" s="90" t="s">
        <v>57</v>
      </c>
      <c r="F27" s="3">
        <v>20</v>
      </c>
      <c r="G27" s="54">
        <v>4</v>
      </c>
    </row>
    <row r="28" spans="2:7" x14ac:dyDescent="0.15">
      <c r="B28" s="2">
        <v>24</v>
      </c>
      <c r="C28" s="88" t="s">
        <v>109</v>
      </c>
      <c r="D28" s="89" t="s">
        <v>111</v>
      </c>
      <c r="E28" s="90" t="s">
        <v>57</v>
      </c>
      <c r="F28" s="3">
        <v>10</v>
      </c>
      <c r="G28" s="54">
        <v>4</v>
      </c>
    </row>
    <row r="29" spans="2:7" x14ac:dyDescent="0.15">
      <c r="B29" s="2">
        <v>25</v>
      </c>
      <c r="C29" s="50" t="s">
        <v>146</v>
      </c>
      <c r="D29" s="51" t="s">
        <v>147</v>
      </c>
      <c r="E29" s="52" t="s">
        <v>57</v>
      </c>
      <c r="F29" s="3">
        <v>93</v>
      </c>
      <c r="G29" s="54" t="s">
        <v>79</v>
      </c>
    </row>
    <row r="30" spans="2:7" x14ac:dyDescent="0.15">
      <c r="B30" s="2">
        <v>26</v>
      </c>
      <c r="C30" s="50" t="s">
        <v>150</v>
      </c>
      <c r="D30" s="51" t="s">
        <v>151</v>
      </c>
      <c r="E30" s="52" t="s">
        <v>57</v>
      </c>
      <c r="F30" s="3">
        <v>25</v>
      </c>
      <c r="G30" s="54" t="s">
        <v>79</v>
      </c>
    </row>
    <row r="31" spans="2:7" x14ac:dyDescent="0.15">
      <c r="B31" s="2"/>
      <c r="C31" s="88"/>
      <c r="D31" s="89"/>
      <c r="E31" s="52"/>
      <c r="F31" s="3"/>
      <c r="G31" s="54"/>
    </row>
    <row r="32" spans="2:7" x14ac:dyDescent="0.15">
      <c r="B32" s="2">
        <v>27</v>
      </c>
      <c r="C32" s="88" t="s">
        <v>71</v>
      </c>
      <c r="D32" s="89" t="s">
        <v>70</v>
      </c>
      <c r="E32" s="90" t="s">
        <v>121</v>
      </c>
      <c r="F32" s="3">
        <v>100</v>
      </c>
      <c r="G32" s="54">
        <v>1</v>
      </c>
    </row>
    <row r="33" spans="1:7" x14ac:dyDescent="0.15">
      <c r="B33" s="2">
        <v>28</v>
      </c>
      <c r="C33" s="50" t="s">
        <v>64</v>
      </c>
      <c r="D33" s="51" t="s">
        <v>65</v>
      </c>
      <c r="E33" s="90" t="s">
        <v>121</v>
      </c>
      <c r="F33" s="3">
        <v>90</v>
      </c>
      <c r="G33" s="54">
        <v>1</v>
      </c>
    </row>
    <row r="34" spans="1:7" ht="22" x14ac:dyDescent="0.15">
      <c r="A34" s="1"/>
      <c r="B34" s="2">
        <v>29</v>
      </c>
      <c r="C34" s="88" t="s">
        <v>116</v>
      </c>
      <c r="D34" s="89" t="s">
        <v>73</v>
      </c>
      <c r="E34" s="90" t="s">
        <v>121</v>
      </c>
      <c r="F34" s="3">
        <v>80</v>
      </c>
      <c r="G34" s="54">
        <v>2</v>
      </c>
    </row>
    <row r="35" spans="1:7" x14ac:dyDescent="0.15">
      <c r="B35" s="2">
        <v>30</v>
      </c>
      <c r="C35" s="50" t="s">
        <v>72</v>
      </c>
      <c r="D35" s="91" t="s">
        <v>117</v>
      </c>
      <c r="E35" s="90" t="s">
        <v>121</v>
      </c>
      <c r="F35" s="3">
        <v>60</v>
      </c>
      <c r="G35" s="54">
        <v>2</v>
      </c>
    </row>
    <row r="36" spans="1:7" x14ac:dyDescent="0.15">
      <c r="B36" s="2">
        <v>31</v>
      </c>
      <c r="C36" s="50" t="s">
        <v>74</v>
      </c>
      <c r="D36" s="3" t="s">
        <v>75</v>
      </c>
      <c r="E36" s="90" t="s">
        <v>121</v>
      </c>
      <c r="F36" s="3">
        <v>50</v>
      </c>
      <c r="G36" s="54">
        <v>2</v>
      </c>
    </row>
    <row r="37" spans="1:7" x14ac:dyDescent="0.15">
      <c r="B37" s="2">
        <v>32</v>
      </c>
      <c r="C37" s="50" t="s">
        <v>76</v>
      </c>
      <c r="D37" s="3" t="s">
        <v>77</v>
      </c>
      <c r="E37" s="90" t="s">
        <v>121</v>
      </c>
      <c r="F37" s="3">
        <v>40</v>
      </c>
      <c r="G37" s="54">
        <v>3</v>
      </c>
    </row>
    <row r="38" spans="1:7" x14ac:dyDescent="0.15">
      <c r="B38" s="2">
        <v>33</v>
      </c>
      <c r="C38" s="50" t="s">
        <v>61</v>
      </c>
      <c r="D38" s="3" t="s">
        <v>78</v>
      </c>
      <c r="E38" s="90" t="s">
        <v>121</v>
      </c>
      <c r="F38" s="3">
        <v>30</v>
      </c>
      <c r="G38" s="54">
        <v>2</v>
      </c>
    </row>
    <row r="39" spans="1:7" x14ac:dyDescent="0.15">
      <c r="B39" s="2">
        <v>34</v>
      </c>
      <c r="C39" s="88" t="s">
        <v>87</v>
      </c>
      <c r="D39" s="89" t="s">
        <v>88</v>
      </c>
      <c r="E39" s="90" t="s">
        <v>121</v>
      </c>
      <c r="F39" s="3">
        <v>20</v>
      </c>
      <c r="G39" s="54">
        <v>2</v>
      </c>
    </row>
    <row r="40" spans="1:7" x14ac:dyDescent="0.15">
      <c r="B40" s="2">
        <v>35</v>
      </c>
      <c r="C40" s="88" t="s">
        <v>123</v>
      </c>
      <c r="D40" s="89" t="s">
        <v>124</v>
      </c>
      <c r="E40" s="90" t="s">
        <v>121</v>
      </c>
      <c r="F40" s="3">
        <v>10</v>
      </c>
      <c r="G40" s="54">
        <v>2</v>
      </c>
    </row>
    <row r="41" spans="1:7" x14ac:dyDescent="0.15">
      <c r="B41" s="2">
        <v>36</v>
      </c>
      <c r="C41" s="50" t="s">
        <v>137</v>
      </c>
      <c r="D41" s="51" t="s">
        <v>136</v>
      </c>
      <c r="E41" s="52" t="s">
        <v>121</v>
      </c>
      <c r="F41" s="3">
        <v>5</v>
      </c>
      <c r="G41" s="54">
        <v>3</v>
      </c>
    </row>
    <row r="42" spans="1:7" x14ac:dyDescent="0.15">
      <c r="B42" s="2"/>
      <c r="C42" s="50"/>
      <c r="D42" s="51"/>
      <c r="E42" s="52"/>
      <c r="F42" s="3"/>
      <c r="G42" s="54"/>
    </row>
    <row r="43" spans="1:7" x14ac:dyDescent="0.15">
      <c r="B43" s="2"/>
      <c r="C43" s="50"/>
      <c r="D43" s="51"/>
      <c r="E43" s="52"/>
      <c r="F43" s="3"/>
      <c r="G43" s="54"/>
    </row>
    <row r="44" spans="1:7" x14ac:dyDescent="0.15">
      <c r="B44" s="2"/>
      <c r="C44" s="50"/>
      <c r="D44" s="51"/>
      <c r="E44" s="52"/>
      <c r="F44" s="3"/>
      <c r="G44" s="54"/>
    </row>
    <row r="45" spans="1:7" x14ac:dyDescent="0.15">
      <c r="B45" s="2"/>
      <c r="C45" s="50"/>
      <c r="D45" s="51"/>
      <c r="E45" s="52"/>
      <c r="F45" s="3"/>
      <c r="G45" s="54"/>
    </row>
    <row r="46" spans="1:7" x14ac:dyDescent="0.15">
      <c r="B46" s="2"/>
      <c r="C46" s="50"/>
      <c r="D46" s="51"/>
      <c r="E46" s="52"/>
      <c r="F46" s="3"/>
      <c r="G46" s="54"/>
    </row>
    <row r="47" spans="1:7" x14ac:dyDescent="0.15">
      <c r="B47" s="2"/>
      <c r="C47" s="50"/>
      <c r="D47" s="51"/>
      <c r="E47" s="52"/>
      <c r="F47" s="3"/>
      <c r="G47" s="54"/>
    </row>
    <row r="48" spans="1:7" x14ac:dyDescent="0.15">
      <c r="B48" s="2"/>
      <c r="C48" s="50"/>
      <c r="D48" s="51"/>
      <c r="E48" s="52"/>
      <c r="F48" s="3"/>
      <c r="G48" s="54"/>
    </row>
    <row r="49" spans="2:7" x14ac:dyDescent="0.15">
      <c r="B49" s="2"/>
      <c r="C49" s="50"/>
      <c r="D49" s="51"/>
      <c r="E49" s="52"/>
      <c r="F49" s="3"/>
      <c r="G49" s="54"/>
    </row>
    <row r="50" spans="2:7" x14ac:dyDescent="0.15">
      <c r="B50" s="2"/>
      <c r="C50" s="50"/>
      <c r="D50" s="3"/>
      <c r="E50" s="52"/>
      <c r="F50" s="3"/>
      <c r="G50" s="54"/>
    </row>
    <row r="51" spans="2:7" x14ac:dyDescent="0.15">
      <c r="B51" s="2"/>
      <c r="C51" s="50"/>
      <c r="D51" s="3"/>
      <c r="E51" s="52"/>
      <c r="F51" s="3"/>
      <c r="G51" s="54"/>
    </row>
    <row r="52" spans="2:7" x14ac:dyDescent="0.15">
      <c r="B52" s="2"/>
      <c r="C52" s="50"/>
      <c r="D52" s="3"/>
      <c r="E52" s="52"/>
      <c r="F52" s="3"/>
      <c r="G52" s="54"/>
    </row>
    <row r="53" spans="2:7" x14ac:dyDescent="0.15">
      <c r="B53" s="2"/>
      <c r="C53" s="50"/>
      <c r="D53" s="3"/>
      <c r="E53" s="52"/>
      <c r="F53" s="3"/>
      <c r="G53" s="54"/>
    </row>
    <row r="54" spans="2:7" x14ac:dyDescent="0.15">
      <c r="B54" s="2"/>
      <c r="C54" s="50"/>
      <c r="D54" s="3"/>
      <c r="E54" s="52"/>
      <c r="F54" s="3"/>
      <c r="G54" s="54"/>
    </row>
    <row r="55" spans="2:7" x14ac:dyDescent="0.15">
      <c r="B55" s="2"/>
      <c r="C55" s="50"/>
      <c r="D55" s="3"/>
      <c r="E55" s="52"/>
      <c r="F55" s="3"/>
      <c r="G55" s="54"/>
    </row>
    <row r="56" spans="2:7" x14ac:dyDescent="0.15">
      <c r="B56" s="2"/>
      <c r="C56" s="50"/>
      <c r="D56" s="3"/>
      <c r="E56" s="52"/>
      <c r="F56" s="3"/>
      <c r="G56" s="54"/>
    </row>
    <row r="57" spans="2:7" x14ac:dyDescent="0.15">
      <c r="C57" s="1"/>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46"/>
      <c r="B1" s="59" t="s">
        <v>9</v>
      </c>
      <c r="C1" s="60" t="s">
        <v>35</v>
      </c>
      <c r="D1" s="61">
        <v>42779</v>
      </c>
      <c r="E1" s="46"/>
      <c r="F1" s="104"/>
      <c r="G1" s="104"/>
      <c r="H1" s="104"/>
      <c r="I1" s="104"/>
      <c r="J1" s="104"/>
      <c r="K1" s="104"/>
      <c r="L1" s="104"/>
      <c r="M1" s="104"/>
      <c r="N1" s="104"/>
      <c r="O1" s="46"/>
    </row>
    <row r="2" spans="1:92" ht="32.25" customHeight="1" x14ac:dyDescent="0.35">
      <c r="A2" s="46"/>
      <c r="B2" s="59" t="s">
        <v>166</v>
      </c>
      <c r="C2" s="60" t="s">
        <v>36</v>
      </c>
      <c r="D2" s="61">
        <v>42790</v>
      </c>
      <c r="E2" s="46"/>
      <c r="F2" s="46" t="s">
        <v>47</v>
      </c>
      <c r="G2" s="46"/>
      <c r="H2" s="46">
        <v>42790.600092592591</v>
      </c>
      <c r="I2" s="46"/>
      <c r="J2" s="46"/>
      <c r="K2" s="46"/>
      <c r="L2" s="46"/>
      <c r="M2" s="46"/>
      <c r="N2" s="46"/>
      <c r="O2" s="63"/>
      <c r="P2" s="12"/>
      <c r="Q2" s="12"/>
      <c r="R2" s="12"/>
      <c r="S2" s="12"/>
      <c r="T2" s="12"/>
      <c r="U2" s="12"/>
      <c r="V2" s="12"/>
      <c r="W2" s="12"/>
      <c r="X2" s="12"/>
      <c r="Y2" s="12"/>
      <c r="Z2" s="12"/>
    </row>
    <row r="3" spans="1:92" ht="17.25" customHeight="1" x14ac:dyDescent="0.15">
      <c r="A3" s="46"/>
      <c r="B3" s="46"/>
      <c r="C3" s="60" t="s">
        <v>34</v>
      </c>
      <c r="D3" s="62">
        <f>D38</f>
        <v>152</v>
      </c>
      <c r="E3" s="46"/>
      <c r="F3" s="46"/>
      <c r="G3" s="46"/>
      <c r="H3" s="46"/>
      <c r="I3" s="46"/>
      <c r="J3" s="46"/>
      <c r="K3" s="46"/>
      <c r="L3" s="46"/>
      <c r="M3" s="46"/>
      <c r="N3" s="46"/>
      <c r="O3" s="63"/>
      <c r="P3" s="12"/>
      <c r="Q3" s="12"/>
      <c r="R3" s="12"/>
      <c r="S3" s="12"/>
      <c r="T3" s="12"/>
      <c r="U3" s="12"/>
      <c r="V3" s="12"/>
      <c r="W3" s="12"/>
      <c r="X3" s="12"/>
      <c r="Y3" s="12"/>
      <c r="Z3" s="12"/>
    </row>
    <row r="4" spans="1:92" ht="17.25" customHeight="1" x14ac:dyDescent="0.15">
      <c r="A4" s="46"/>
      <c r="B4" s="46"/>
      <c r="C4" s="60" t="s">
        <v>41</v>
      </c>
      <c r="D4" s="112" t="s">
        <v>125</v>
      </c>
      <c r="E4" s="112"/>
      <c r="F4" s="112"/>
      <c r="G4" s="112"/>
      <c r="H4" s="112"/>
      <c r="I4" s="112"/>
      <c r="J4" s="112"/>
      <c r="K4" s="112"/>
      <c r="L4" s="112"/>
      <c r="M4" s="112"/>
      <c r="N4" s="112"/>
      <c r="O4" s="63"/>
      <c r="P4" s="12"/>
      <c r="Q4" s="12"/>
      <c r="R4" s="12"/>
      <c r="S4" s="12"/>
      <c r="T4" s="12"/>
      <c r="U4" s="12"/>
      <c r="V4" s="12"/>
      <c r="W4" s="12"/>
      <c r="X4" s="12"/>
      <c r="Y4" s="12"/>
      <c r="Z4" s="12"/>
    </row>
    <row r="5" spans="1:92" ht="17.25" customHeight="1" thickBot="1" x14ac:dyDescent="0.2">
      <c r="A5" s="46"/>
      <c r="B5" s="46"/>
      <c r="C5" s="60"/>
      <c r="D5" s="61"/>
      <c r="E5" s="46"/>
      <c r="F5" s="46"/>
      <c r="G5" s="46"/>
      <c r="H5" s="46"/>
      <c r="I5" s="46"/>
      <c r="J5" s="46"/>
      <c r="K5" s="46"/>
      <c r="L5" s="46"/>
      <c r="M5" s="46"/>
      <c r="N5" s="46"/>
      <c r="O5" s="63"/>
      <c r="P5" s="12"/>
      <c r="Q5" s="12"/>
      <c r="R5" s="12"/>
      <c r="S5" s="12"/>
      <c r="T5" s="12"/>
      <c r="U5" s="12"/>
      <c r="V5" s="12"/>
      <c r="W5" s="12"/>
      <c r="X5" s="12"/>
      <c r="Y5" s="12"/>
      <c r="Z5" s="12"/>
    </row>
    <row r="6" spans="1:92" ht="32.25" customHeight="1" thickBot="1" x14ac:dyDescent="0.2">
      <c r="A6" s="8" t="s">
        <v>2</v>
      </c>
      <c r="B6" s="9" t="s">
        <v>39</v>
      </c>
      <c r="C6" s="10" t="s">
        <v>38</v>
      </c>
      <c r="D6" s="11" t="s">
        <v>46</v>
      </c>
      <c r="E6" s="44">
        <v>39650</v>
      </c>
      <c r="F6" s="44">
        <v>39651</v>
      </c>
      <c r="G6" s="44">
        <v>39652</v>
      </c>
      <c r="H6" s="44">
        <v>39653</v>
      </c>
      <c r="I6" s="44">
        <v>39654</v>
      </c>
      <c r="J6" s="44">
        <v>39657</v>
      </c>
      <c r="K6" s="44">
        <v>39658</v>
      </c>
      <c r="L6" s="44">
        <v>39659</v>
      </c>
      <c r="M6" s="44">
        <v>39660</v>
      </c>
      <c r="N6" s="43">
        <v>39661</v>
      </c>
      <c r="O6" s="63"/>
      <c r="P6" s="42"/>
      <c r="Q6" s="42"/>
      <c r="R6" s="42"/>
      <c r="S6" s="42"/>
      <c r="T6" s="42"/>
      <c r="U6" s="42"/>
      <c r="V6" s="42"/>
      <c r="W6" s="42"/>
      <c r="X6" s="42"/>
      <c r="Y6" s="4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0" t="s">
        <v>127</v>
      </c>
      <c r="B7" s="18" t="s">
        <v>102</v>
      </c>
      <c r="C7" s="36">
        <v>85</v>
      </c>
      <c r="D7" s="39">
        <v>4</v>
      </c>
      <c r="E7" s="14">
        <v>4</v>
      </c>
      <c r="F7" s="15">
        <v>0</v>
      </c>
      <c r="G7" s="15">
        <v>0</v>
      </c>
      <c r="H7" s="17">
        <v>0</v>
      </c>
      <c r="I7" s="15">
        <v>0</v>
      </c>
      <c r="J7" s="15">
        <v>0</v>
      </c>
      <c r="K7" s="15">
        <v>0</v>
      </c>
      <c r="L7" s="15">
        <v>0</v>
      </c>
      <c r="M7" s="15">
        <v>0</v>
      </c>
      <c r="N7" s="15">
        <v>0</v>
      </c>
      <c r="O7" s="46"/>
    </row>
    <row r="8" spans="1:92" x14ac:dyDescent="0.15">
      <c r="A8" s="40" t="s">
        <v>126</v>
      </c>
      <c r="B8" s="18" t="s">
        <v>144</v>
      </c>
      <c r="C8" s="36">
        <v>95</v>
      </c>
      <c r="D8" s="39">
        <v>3</v>
      </c>
      <c r="E8" s="14">
        <v>3</v>
      </c>
      <c r="F8" s="15">
        <v>2</v>
      </c>
      <c r="G8" s="15">
        <v>0</v>
      </c>
      <c r="H8" s="17">
        <v>0</v>
      </c>
      <c r="I8" s="15">
        <v>0</v>
      </c>
      <c r="J8" s="15">
        <v>0</v>
      </c>
      <c r="K8" s="15">
        <v>0</v>
      </c>
      <c r="L8" s="15">
        <v>0</v>
      </c>
      <c r="M8" s="15">
        <v>0</v>
      </c>
      <c r="N8" s="15">
        <v>0</v>
      </c>
      <c r="O8" s="46"/>
    </row>
    <row r="9" spans="1:92" x14ac:dyDescent="0.15">
      <c r="A9" s="93" t="s">
        <v>128</v>
      </c>
      <c r="B9" s="18" t="s">
        <v>93</v>
      </c>
      <c r="C9" s="36">
        <v>98</v>
      </c>
      <c r="D9" s="33">
        <v>4</v>
      </c>
      <c r="E9" s="14">
        <v>4</v>
      </c>
      <c r="F9" s="15">
        <v>4</v>
      </c>
      <c r="G9" s="16">
        <v>4</v>
      </c>
      <c r="H9" s="17">
        <v>2</v>
      </c>
      <c r="I9" s="15">
        <v>0</v>
      </c>
      <c r="J9" s="15">
        <v>0</v>
      </c>
      <c r="K9" s="15">
        <v>0</v>
      </c>
      <c r="L9" s="15">
        <v>0</v>
      </c>
      <c r="M9" s="15">
        <v>0</v>
      </c>
      <c r="N9" s="15">
        <v>0</v>
      </c>
      <c r="O9" s="46"/>
    </row>
    <row r="10" spans="1:92" x14ac:dyDescent="0.15">
      <c r="A10" s="40" t="s">
        <v>142</v>
      </c>
      <c r="B10" s="18" t="s">
        <v>132</v>
      </c>
      <c r="C10" s="36">
        <v>83</v>
      </c>
      <c r="D10" s="33">
        <v>4</v>
      </c>
      <c r="E10" s="14">
        <v>4</v>
      </c>
      <c r="F10" s="15">
        <v>4</v>
      </c>
      <c r="G10" s="16">
        <v>4</v>
      </c>
      <c r="H10" s="17">
        <v>3</v>
      </c>
      <c r="I10" s="15">
        <v>1</v>
      </c>
      <c r="J10" s="15">
        <v>0</v>
      </c>
      <c r="K10" s="15">
        <v>0</v>
      </c>
      <c r="L10" s="15">
        <v>0</v>
      </c>
      <c r="M10" s="15">
        <v>0</v>
      </c>
      <c r="N10" s="15">
        <v>0</v>
      </c>
      <c r="O10" s="46"/>
    </row>
    <row r="11" spans="1:92" ht="12.5" customHeight="1" x14ac:dyDescent="0.15">
      <c r="A11" s="93" t="s">
        <v>129</v>
      </c>
      <c r="B11" s="18" t="s">
        <v>90</v>
      </c>
      <c r="C11" s="36">
        <v>70</v>
      </c>
      <c r="D11" s="33">
        <v>2</v>
      </c>
      <c r="E11" s="14">
        <v>2</v>
      </c>
      <c r="F11" s="15">
        <v>0</v>
      </c>
      <c r="G11" s="16">
        <v>0</v>
      </c>
      <c r="H11" s="17">
        <v>0</v>
      </c>
      <c r="I11" s="45">
        <v>0</v>
      </c>
      <c r="J11" s="15">
        <v>0</v>
      </c>
      <c r="K11" s="15">
        <v>0</v>
      </c>
      <c r="L11" s="15">
        <v>0</v>
      </c>
      <c r="M11" s="15">
        <v>0</v>
      </c>
      <c r="N11" s="15">
        <v>0</v>
      </c>
      <c r="O11" s="46"/>
    </row>
    <row r="12" spans="1:92" x14ac:dyDescent="0.15">
      <c r="A12" s="93" t="s">
        <v>130</v>
      </c>
      <c r="B12" s="18" t="s">
        <v>95</v>
      </c>
      <c r="C12" s="36">
        <v>65</v>
      </c>
      <c r="D12" s="33">
        <v>3</v>
      </c>
      <c r="E12" s="14">
        <v>3</v>
      </c>
      <c r="F12" s="15">
        <v>3</v>
      </c>
      <c r="G12" s="16">
        <v>3</v>
      </c>
      <c r="H12" s="17">
        <v>3</v>
      </c>
      <c r="I12" s="45">
        <v>3</v>
      </c>
      <c r="J12" s="15">
        <v>3</v>
      </c>
      <c r="K12" s="15">
        <v>2</v>
      </c>
      <c r="L12" s="15">
        <v>0</v>
      </c>
      <c r="M12" s="15">
        <v>0</v>
      </c>
      <c r="N12" s="15">
        <v>0</v>
      </c>
      <c r="O12" s="46"/>
    </row>
    <row r="13" spans="1:92" x14ac:dyDescent="0.15">
      <c r="A13" s="40" t="s">
        <v>143</v>
      </c>
      <c r="B13" s="18" t="s">
        <v>149</v>
      </c>
      <c r="C13" s="36">
        <v>45</v>
      </c>
      <c r="D13" s="33">
        <v>4</v>
      </c>
      <c r="E13" s="14">
        <v>4</v>
      </c>
      <c r="F13" s="15">
        <v>4</v>
      </c>
      <c r="G13" s="16">
        <v>4</v>
      </c>
      <c r="H13" s="17">
        <v>4</v>
      </c>
      <c r="I13" s="45">
        <v>4</v>
      </c>
      <c r="J13" s="15">
        <v>4</v>
      </c>
      <c r="K13" s="15">
        <v>3</v>
      </c>
      <c r="L13" s="15">
        <v>1</v>
      </c>
      <c r="M13" s="15">
        <v>0</v>
      </c>
      <c r="N13" s="15">
        <v>0</v>
      </c>
      <c r="O13" s="46"/>
    </row>
    <row r="14" spans="1:92" x14ac:dyDescent="0.15">
      <c r="A14" s="40" t="s">
        <v>131</v>
      </c>
      <c r="B14" s="18" t="s">
        <v>140</v>
      </c>
      <c r="C14" s="36">
        <v>48</v>
      </c>
      <c r="D14" s="33">
        <v>5</v>
      </c>
      <c r="E14" s="14">
        <v>5</v>
      </c>
      <c r="F14" s="15">
        <v>5</v>
      </c>
      <c r="G14" s="16">
        <v>5</v>
      </c>
      <c r="H14" s="17">
        <v>5</v>
      </c>
      <c r="I14" s="45">
        <v>5</v>
      </c>
      <c r="J14" s="15">
        <v>5</v>
      </c>
      <c r="K14" s="15">
        <v>5</v>
      </c>
      <c r="L14" s="15">
        <v>3</v>
      </c>
      <c r="M14" s="15">
        <v>0</v>
      </c>
      <c r="N14" s="15">
        <v>0</v>
      </c>
      <c r="O14" s="46"/>
    </row>
    <row r="15" spans="1:92" x14ac:dyDescent="0.15">
      <c r="A15" s="40" t="s">
        <v>148</v>
      </c>
      <c r="B15" s="18" t="s">
        <v>145</v>
      </c>
      <c r="C15" s="36">
        <v>93</v>
      </c>
      <c r="D15" s="33">
        <v>3</v>
      </c>
      <c r="E15" s="14">
        <v>3</v>
      </c>
      <c r="F15" s="15">
        <v>3</v>
      </c>
      <c r="G15" s="16">
        <v>3</v>
      </c>
      <c r="H15" s="17">
        <v>3</v>
      </c>
      <c r="I15" s="45">
        <v>2</v>
      </c>
      <c r="J15" s="15">
        <v>2</v>
      </c>
      <c r="K15" s="15">
        <v>1</v>
      </c>
      <c r="L15" s="15">
        <v>0</v>
      </c>
      <c r="M15" s="15">
        <v>0</v>
      </c>
      <c r="N15" s="15">
        <v>0</v>
      </c>
      <c r="O15" s="46"/>
    </row>
    <row r="16" spans="1:92" x14ac:dyDescent="0.15">
      <c r="A16" s="40" t="s">
        <v>133</v>
      </c>
      <c r="B16" s="18" t="s">
        <v>86</v>
      </c>
      <c r="C16" s="36">
        <v>72</v>
      </c>
      <c r="D16" s="33">
        <v>4</v>
      </c>
      <c r="E16" s="14">
        <v>4</v>
      </c>
      <c r="F16" s="15">
        <v>4</v>
      </c>
      <c r="G16" s="16">
        <v>4</v>
      </c>
      <c r="H16" s="17">
        <v>4</v>
      </c>
      <c r="I16" s="45">
        <v>3</v>
      </c>
      <c r="J16" s="15">
        <v>2</v>
      </c>
      <c r="K16" s="15">
        <v>1</v>
      </c>
      <c r="L16" s="15">
        <v>0</v>
      </c>
      <c r="M16" s="15">
        <v>0</v>
      </c>
      <c r="N16" s="15">
        <v>0</v>
      </c>
      <c r="O16" s="46"/>
    </row>
    <row r="17" spans="1:92" x14ac:dyDescent="0.15">
      <c r="A17" s="41" t="s">
        <v>152</v>
      </c>
      <c r="B17" s="13" t="s">
        <v>153</v>
      </c>
      <c r="C17" s="35" t="s">
        <v>152</v>
      </c>
      <c r="D17" s="38">
        <v>2</v>
      </c>
      <c r="E17" s="14">
        <v>2</v>
      </c>
      <c r="F17" s="14">
        <v>2</v>
      </c>
      <c r="G17" s="14">
        <v>2</v>
      </c>
      <c r="H17" s="14">
        <v>0</v>
      </c>
      <c r="I17" s="14">
        <v>0</v>
      </c>
      <c r="J17" s="14">
        <v>0</v>
      </c>
      <c r="K17" s="15">
        <v>0</v>
      </c>
      <c r="L17" s="15">
        <v>0</v>
      </c>
      <c r="M17" s="15">
        <v>0</v>
      </c>
      <c r="N17" s="15">
        <v>0</v>
      </c>
      <c r="O17" s="46"/>
    </row>
    <row r="18" spans="1:92" x14ac:dyDescent="0.15">
      <c r="A18" s="40" t="s">
        <v>154</v>
      </c>
      <c r="B18" s="18" t="s">
        <v>155</v>
      </c>
      <c r="C18" s="36">
        <v>75</v>
      </c>
      <c r="D18" s="39">
        <v>4</v>
      </c>
      <c r="E18" s="14">
        <v>4</v>
      </c>
      <c r="F18" s="15">
        <v>4</v>
      </c>
      <c r="G18" s="15">
        <v>4</v>
      </c>
      <c r="H18" s="17">
        <v>4</v>
      </c>
      <c r="I18" s="15">
        <v>4</v>
      </c>
      <c r="J18" s="15">
        <v>0</v>
      </c>
      <c r="K18" s="15">
        <v>0</v>
      </c>
      <c r="L18" s="15">
        <v>0</v>
      </c>
      <c r="M18" s="15">
        <v>0</v>
      </c>
      <c r="N18" s="15">
        <v>0</v>
      </c>
      <c r="O18" s="46"/>
    </row>
    <row r="19" spans="1:92" x14ac:dyDescent="0.15">
      <c r="A19" s="40" t="s">
        <v>156</v>
      </c>
      <c r="B19" s="18" t="s">
        <v>157</v>
      </c>
      <c r="C19" s="36">
        <v>25</v>
      </c>
      <c r="D19" s="38">
        <v>1</v>
      </c>
      <c r="E19" s="14">
        <v>1</v>
      </c>
      <c r="F19" s="15">
        <v>1</v>
      </c>
      <c r="G19" s="16">
        <v>1</v>
      </c>
      <c r="H19" s="17">
        <v>0</v>
      </c>
      <c r="I19" s="15">
        <v>0</v>
      </c>
      <c r="J19" s="15">
        <v>0</v>
      </c>
      <c r="K19" s="15">
        <v>0</v>
      </c>
      <c r="L19" s="15">
        <v>0</v>
      </c>
      <c r="M19" s="15">
        <v>0</v>
      </c>
      <c r="N19" s="15">
        <v>0</v>
      </c>
      <c r="O19" s="46"/>
    </row>
    <row r="20" spans="1:92" x14ac:dyDescent="0.15">
      <c r="A20" s="40" t="s">
        <v>158</v>
      </c>
      <c r="B20" s="18" t="s">
        <v>159</v>
      </c>
      <c r="C20" s="36">
        <v>60</v>
      </c>
      <c r="D20" s="38">
        <v>3</v>
      </c>
      <c r="E20" s="14">
        <v>3</v>
      </c>
      <c r="F20" s="15">
        <v>3</v>
      </c>
      <c r="G20" s="16">
        <v>3</v>
      </c>
      <c r="H20" s="17">
        <v>1</v>
      </c>
      <c r="I20" s="15">
        <v>0</v>
      </c>
      <c r="J20" s="15">
        <v>0</v>
      </c>
      <c r="K20" s="15">
        <v>0</v>
      </c>
      <c r="L20" s="15">
        <v>0</v>
      </c>
      <c r="M20" s="15">
        <v>0</v>
      </c>
      <c r="N20" s="15">
        <v>0</v>
      </c>
      <c r="O20" s="46"/>
    </row>
    <row r="21" spans="1:92" ht="12.5" customHeight="1" x14ac:dyDescent="0.15">
      <c r="A21" s="40" t="s">
        <v>148</v>
      </c>
      <c r="B21" s="18" t="s">
        <v>160</v>
      </c>
      <c r="C21" s="36">
        <v>93</v>
      </c>
      <c r="D21" s="38">
        <v>1</v>
      </c>
      <c r="E21" s="14">
        <v>1</v>
      </c>
      <c r="F21" s="15">
        <v>1</v>
      </c>
      <c r="G21" s="16">
        <v>1</v>
      </c>
      <c r="H21" s="17">
        <v>1</v>
      </c>
      <c r="I21" s="45">
        <v>1</v>
      </c>
      <c r="J21" s="15">
        <v>0</v>
      </c>
      <c r="K21" s="15">
        <v>0</v>
      </c>
      <c r="L21" s="15">
        <v>0</v>
      </c>
      <c r="M21" s="15">
        <v>0</v>
      </c>
      <c r="N21" s="15">
        <v>0</v>
      </c>
      <c r="O21" s="46"/>
    </row>
    <row r="22" spans="1:92" x14ac:dyDescent="0.15">
      <c r="A22" s="40" t="s">
        <v>161</v>
      </c>
      <c r="B22" s="18" t="s">
        <v>162</v>
      </c>
      <c r="C22" s="36">
        <v>81</v>
      </c>
      <c r="D22" s="38">
        <v>3</v>
      </c>
      <c r="E22" s="14">
        <v>3</v>
      </c>
      <c r="F22" s="15">
        <v>3</v>
      </c>
      <c r="G22" s="16">
        <v>3</v>
      </c>
      <c r="H22" s="17">
        <v>3</v>
      </c>
      <c r="I22" s="45">
        <v>3</v>
      </c>
      <c r="J22" s="15">
        <v>3</v>
      </c>
      <c r="K22" s="15">
        <v>0</v>
      </c>
      <c r="L22" s="15">
        <v>0</v>
      </c>
      <c r="M22" s="15">
        <v>0</v>
      </c>
      <c r="N22" s="15">
        <v>0</v>
      </c>
      <c r="O22" s="46"/>
    </row>
    <row r="23" spans="1:92" x14ac:dyDescent="0.15">
      <c r="A23" s="40" t="s">
        <v>148</v>
      </c>
      <c r="B23" s="18" t="s">
        <v>163</v>
      </c>
      <c r="C23" s="36">
        <v>45</v>
      </c>
      <c r="D23" s="38">
        <v>1</v>
      </c>
      <c r="E23" s="14">
        <v>1</v>
      </c>
      <c r="F23" s="15">
        <v>1</v>
      </c>
      <c r="G23" s="16">
        <v>1</v>
      </c>
      <c r="H23" s="17">
        <v>1</v>
      </c>
      <c r="I23" s="45">
        <v>1</v>
      </c>
      <c r="J23" s="15">
        <v>1</v>
      </c>
      <c r="K23" s="15">
        <v>1</v>
      </c>
      <c r="L23" s="15">
        <v>0</v>
      </c>
      <c r="M23" s="15">
        <v>0</v>
      </c>
      <c r="N23" s="15">
        <v>0</v>
      </c>
      <c r="O23" s="46"/>
    </row>
    <row r="24" spans="1:92" x14ac:dyDescent="0.15">
      <c r="A24" s="40" t="s">
        <v>158</v>
      </c>
      <c r="B24" s="18" t="s">
        <v>164</v>
      </c>
      <c r="C24" s="36">
        <v>60</v>
      </c>
      <c r="D24" s="38">
        <v>1</v>
      </c>
      <c r="E24" s="14">
        <v>1</v>
      </c>
      <c r="F24" s="15">
        <v>1</v>
      </c>
      <c r="G24" s="16">
        <v>1</v>
      </c>
      <c r="H24" s="17">
        <v>1</v>
      </c>
      <c r="I24" s="45">
        <v>1</v>
      </c>
      <c r="J24" s="15">
        <v>0</v>
      </c>
      <c r="K24" s="15">
        <v>0</v>
      </c>
      <c r="L24" s="15">
        <v>0</v>
      </c>
      <c r="M24" s="15">
        <v>0</v>
      </c>
      <c r="N24" s="15">
        <v>0</v>
      </c>
      <c r="O24" s="46"/>
    </row>
    <row r="25" spans="1:92" x14ac:dyDescent="0.15">
      <c r="A25" s="40" t="s">
        <v>152</v>
      </c>
      <c r="B25" s="18" t="s">
        <v>165</v>
      </c>
      <c r="C25" s="36" t="s">
        <v>152</v>
      </c>
      <c r="D25" s="38">
        <v>2</v>
      </c>
      <c r="E25" s="14">
        <v>2</v>
      </c>
      <c r="F25" s="15">
        <v>2</v>
      </c>
      <c r="G25" s="16">
        <v>2</v>
      </c>
      <c r="H25" s="17">
        <v>2</v>
      </c>
      <c r="I25" s="45">
        <v>2</v>
      </c>
      <c r="J25" s="15">
        <v>2</v>
      </c>
      <c r="K25" s="15">
        <v>2</v>
      </c>
      <c r="L25" s="15">
        <v>2</v>
      </c>
      <c r="M25" s="15">
        <v>2</v>
      </c>
      <c r="N25" s="15">
        <v>0</v>
      </c>
      <c r="O25" s="46"/>
    </row>
    <row r="26" spans="1:92" ht="22" x14ac:dyDescent="0.15">
      <c r="A26" s="94" t="s">
        <v>152</v>
      </c>
      <c r="B26" s="95" t="s">
        <v>167</v>
      </c>
      <c r="C26" s="96">
        <v>95</v>
      </c>
      <c r="D26" s="97">
        <v>3</v>
      </c>
      <c r="E26" s="98">
        <v>3</v>
      </c>
      <c r="F26" s="98">
        <v>0</v>
      </c>
      <c r="G26" s="98">
        <v>0</v>
      </c>
      <c r="H26" s="98">
        <v>0</v>
      </c>
      <c r="I26" s="98">
        <v>0</v>
      </c>
      <c r="J26" s="98">
        <v>0</v>
      </c>
      <c r="K26" s="15">
        <v>0</v>
      </c>
      <c r="L26" s="15">
        <v>0</v>
      </c>
      <c r="M26" s="15">
        <v>0</v>
      </c>
      <c r="N26" s="15">
        <v>0</v>
      </c>
      <c r="O26" s="46"/>
    </row>
    <row r="27" spans="1:92" x14ac:dyDescent="0.15">
      <c r="A27" s="99" t="s">
        <v>154</v>
      </c>
      <c r="B27" s="100" t="s">
        <v>168</v>
      </c>
      <c r="C27" s="101">
        <v>85</v>
      </c>
      <c r="D27" s="39">
        <v>18</v>
      </c>
      <c r="E27" s="98">
        <v>18</v>
      </c>
      <c r="F27" s="15">
        <v>15</v>
      </c>
      <c r="G27" s="15">
        <v>9</v>
      </c>
      <c r="H27" s="15">
        <v>6</v>
      </c>
      <c r="I27" s="15">
        <v>0</v>
      </c>
      <c r="J27" s="15">
        <v>0</v>
      </c>
      <c r="K27" s="15">
        <v>0</v>
      </c>
      <c r="L27" s="15">
        <v>0</v>
      </c>
      <c r="M27" s="15">
        <v>0</v>
      </c>
      <c r="N27" s="15">
        <v>0</v>
      </c>
      <c r="O27" s="46"/>
    </row>
    <row r="28" spans="1:92" x14ac:dyDescent="0.15">
      <c r="A28" s="99" t="s">
        <v>169</v>
      </c>
      <c r="B28" s="102" t="s">
        <v>114</v>
      </c>
      <c r="C28" s="101">
        <v>80</v>
      </c>
      <c r="D28" s="97">
        <v>12</v>
      </c>
      <c r="E28" s="98">
        <v>12</v>
      </c>
      <c r="F28" s="15">
        <v>12</v>
      </c>
      <c r="G28" s="103">
        <v>12</v>
      </c>
      <c r="H28" s="15">
        <v>12</v>
      </c>
      <c r="I28" s="15">
        <v>12</v>
      </c>
      <c r="J28" s="15">
        <v>6</v>
      </c>
      <c r="K28" s="15">
        <v>4</v>
      </c>
      <c r="L28" s="15">
        <v>0</v>
      </c>
      <c r="M28" s="15">
        <v>0</v>
      </c>
      <c r="N28" s="15">
        <v>0</v>
      </c>
      <c r="O28" s="46"/>
    </row>
    <row r="29" spans="1:92" x14ac:dyDescent="0.15">
      <c r="A29" s="99" t="s">
        <v>170</v>
      </c>
      <c r="B29" s="102" t="s">
        <v>98</v>
      </c>
      <c r="C29" s="101">
        <v>75</v>
      </c>
      <c r="D29" s="97">
        <v>8</v>
      </c>
      <c r="E29" s="98">
        <v>8</v>
      </c>
      <c r="F29" s="15">
        <v>8</v>
      </c>
      <c r="G29" s="103">
        <v>8</v>
      </c>
      <c r="H29" s="15">
        <v>8</v>
      </c>
      <c r="I29" s="15">
        <v>8</v>
      </c>
      <c r="J29" s="15">
        <v>8</v>
      </c>
      <c r="K29" s="15">
        <v>8</v>
      </c>
      <c r="L29" s="15">
        <v>3</v>
      </c>
      <c r="M29" s="15">
        <v>0</v>
      </c>
      <c r="N29" s="15">
        <v>0</v>
      </c>
      <c r="O29" s="64" t="s">
        <v>37</v>
      </c>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99" t="s">
        <v>152</v>
      </c>
      <c r="B30" s="102" t="s">
        <v>171</v>
      </c>
      <c r="C30" s="101">
        <v>75</v>
      </c>
      <c r="D30" s="97">
        <v>3</v>
      </c>
      <c r="E30" s="98">
        <v>3</v>
      </c>
      <c r="F30" s="15">
        <v>3</v>
      </c>
      <c r="G30" s="103">
        <v>3</v>
      </c>
      <c r="H30" s="15">
        <v>3</v>
      </c>
      <c r="I30" s="15">
        <v>3</v>
      </c>
      <c r="J30" s="15">
        <v>3</v>
      </c>
      <c r="K30" s="15">
        <v>3</v>
      </c>
      <c r="L30" s="15">
        <v>3</v>
      </c>
      <c r="M30" s="15">
        <v>3</v>
      </c>
      <c r="N30" s="15">
        <v>0</v>
      </c>
      <c r="O30" s="65">
        <v>0</v>
      </c>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ht="12.5" customHeight="1" x14ac:dyDescent="0.15">
      <c r="A31" s="41" t="s">
        <v>154</v>
      </c>
      <c r="B31" s="13" t="s">
        <v>172</v>
      </c>
      <c r="C31" s="35">
        <v>75</v>
      </c>
      <c r="D31" s="38">
        <v>20</v>
      </c>
      <c r="E31" s="14">
        <v>14</v>
      </c>
      <c r="F31" s="14">
        <v>8</v>
      </c>
      <c r="G31" s="14">
        <v>0</v>
      </c>
      <c r="H31" s="14">
        <v>0</v>
      </c>
      <c r="I31" s="14">
        <v>0</v>
      </c>
      <c r="J31" s="14">
        <v>0</v>
      </c>
      <c r="K31" s="15">
        <v>0</v>
      </c>
      <c r="L31" s="15">
        <v>0</v>
      </c>
      <c r="M31" s="15">
        <v>0</v>
      </c>
      <c r="N31" s="15">
        <v>0</v>
      </c>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40" t="s">
        <v>173</v>
      </c>
      <c r="B32" s="18" t="s">
        <v>174</v>
      </c>
      <c r="C32" s="36">
        <v>100</v>
      </c>
      <c r="D32" s="39">
        <v>12</v>
      </c>
      <c r="E32" s="14">
        <v>12</v>
      </c>
      <c r="F32" s="15">
        <v>12</v>
      </c>
      <c r="G32" s="15">
        <v>12</v>
      </c>
      <c r="H32" s="17">
        <v>6</v>
      </c>
      <c r="I32" s="15">
        <v>0</v>
      </c>
      <c r="J32" s="15">
        <v>0</v>
      </c>
      <c r="K32" s="15">
        <v>0</v>
      </c>
      <c r="L32" s="15">
        <v>0</v>
      </c>
      <c r="M32" s="15">
        <v>0</v>
      </c>
      <c r="N32" s="15">
        <v>0</v>
      </c>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40" t="s">
        <v>175</v>
      </c>
      <c r="B33" s="18" t="s">
        <v>176</v>
      </c>
      <c r="C33" s="36">
        <v>90</v>
      </c>
      <c r="D33" s="38">
        <v>7</v>
      </c>
      <c r="E33" s="14">
        <v>7</v>
      </c>
      <c r="F33" s="15">
        <v>7</v>
      </c>
      <c r="G33" s="16">
        <v>7</v>
      </c>
      <c r="H33" s="17">
        <v>7</v>
      </c>
      <c r="I33" s="15">
        <v>7</v>
      </c>
      <c r="J33" s="15">
        <v>0</v>
      </c>
      <c r="K33" s="15">
        <v>0</v>
      </c>
      <c r="L33" s="15">
        <v>0</v>
      </c>
      <c r="M33" s="15">
        <v>0</v>
      </c>
      <c r="N33" s="15">
        <v>0</v>
      </c>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40" t="s">
        <v>177</v>
      </c>
      <c r="B34" s="18" t="s">
        <v>66</v>
      </c>
      <c r="C34" s="36">
        <v>80</v>
      </c>
      <c r="D34" s="38">
        <v>1</v>
      </c>
      <c r="E34" s="14">
        <v>1</v>
      </c>
      <c r="F34" s="15">
        <v>1</v>
      </c>
      <c r="G34" s="16">
        <v>1</v>
      </c>
      <c r="H34" s="17">
        <v>1</v>
      </c>
      <c r="I34" s="15">
        <v>1</v>
      </c>
      <c r="J34" s="15">
        <v>0</v>
      </c>
      <c r="K34" s="15">
        <v>0</v>
      </c>
      <c r="L34" s="15">
        <v>0</v>
      </c>
      <c r="M34" s="15">
        <v>0</v>
      </c>
      <c r="N34" s="15">
        <v>0</v>
      </c>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ht="22" x14ac:dyDescent="0.15">
      <c r="A35" s="40" t="s">
        <v>170</v>
      </c>
      <c r="B35" s="18" t="s">
        <v>178</v>
      </c>
      <c r="C35" s="36">
        <v>55</v>
      </c>
      <c r="D35" s="38">
        <v>2</v>
      </c>
      <c r="E35" s="14">
        <v>2</v>
      </c>
      <c r="F35" s="15">
        <v>2</v>
      </c>
      <c r="G35" s="16">
        <v>2</v>
      </c>
      <c r="H35" s="17">
        <v>2</v>
      </c>
      <c r="I35" s="15">
        <v>2</v>
      </c>
      <c r="J35" s="15">
        <v>2</v>
      </c>
      <c r="K35" s="15">
        <v>0</v>
      </c>
      <c r="L35" s="15">
        <v>0</v>
      </c>
      <c r="M35" s="15">
        <v>0</v>
      </c>
      <c r="N35" s="15">
        <v>0</v>
      </c>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ht="22" x14ac:dyDescent="0.15">
      <c r="A36" s="40" t="s">
        <v>131</v>
      </c>
      <c r="B36" s="18" t="s">
        <v>179</v>
      </c>
      <c r="C36" s="36">
        <v>50</v>
      </c>
      <c r="D36" s="38">
        <v>12</v>
      </c>
      <c r="E36" s="14">
        <v>12</v>
      </c>
      <c r="F36" s="15">
        <v>12</v>
      </c>
      <c r="G36" s="16">
        <v>12</v>
      </c>
      <c r="H36" s="17">
        <v>12</v>
      </c>
      <c r="I36" s="15">
        <v>12</v>
      </c>
      <c r="J36" s="15">
        <v>12</v>
      </c>
      <c r="K36" s="15">
        <v>10</v>
      </c>
      <c r="L36" s="15">
        <v>5</v>
      </c>
      <c r="M36" s="15">
        <v>0</v>
      </c>
      <c r="N36" s="15">
        <v>0</v>
      </c>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19"/>
      <c r="B37" s="20"/>
      <c r="C37" s="37"/>
      <c r="D37" s="34"/>
      <c r="E37" s="17"/>
      <c r="F37" s="17"/>
      <c r="G37" s="17"/>
      <c r="H37" s="17"/>
      <c r="I37" s="17"/>
      <c r="J37" s="15"/>
      <c r="K37" s="15"/>
      <c r="L37" s="15"/>
      <c r="M37" s="15"/>
      <c r="N37" s="15"/>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3"/>
      <c r="D38" s="48">
        <f t="shared" ref="D38:N38" si="0">SUM(D7:D37)</f>
        <v>152</v>
      </c>
      <c r="E38" s="48">
        <f t="shared" si="0"/>
        <v>146</v>
      </c>
      <c r="F38" s="48">
        <f t="shared" si="0"/>
        <v>127</v>
      </c>
      <c r="G38" s="48">
        <f t="shared" si="0"/>
        <v>111</v>
      </c>
      <c r="H38" s="48">
        <f t="shared" si="0"/>
        <v>94</v>
      </c>
      <c r="I38" s="48">
        <f t="shared" si="0"/>
        <v>75</v>
      </c>
      <c r="J38" s="48">
        <f t="shared" si="0"/>
        <v>53</v>
      </c>
      <c r="K38" s="48">
        <f t="shared" si="0"/>
        <v>40</v>
      </c>
      <c r="L38" s="48">
        <f t="shared" si="0"/>
        <v>17</v>
      </c>
      <c r="M38" s="48">
        <f t="shared" si="0"/>
        <v>5</v>
      </c>
      <c r="N38" s="48">
        <f t="shared" si="0"/>
        <v>0</v>
      </c>
      <c r="O38" s="63"/>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5" t="s">
        <v>40</v>
      </c>
      <c r="E39" s="57">
        <f>'system sheet'!C10</f>
        <v>152</v>
      </c>
      <c r="F39" s="58">
        <f>'system sheet'!D10</f>
        <v>135.11111111111111</v>
      </c>
      <c r="G39" s="58">
        <f>'system sheet'!E10</f>
        <v>118.22222222222223</v>
      </c>
      <c r="H39" s="58">
        <f>'system sheet'!F10</f>
        <v>101.33333333333333</v>
      </c>
      <c r="I39" s="58">
        <f>'system sheet'!G10</f>
        <v>84.444444444444443</v>
      </c>
      <c r="J39" s="58">
        <f>'system sheet'!H10</f>
        <v>67.555555555555557</v>
      </c>
      <c r="K39" s="58">
        <f>'system sheet'!I10</f>
        <v>50.666666666666657</v>
      </c>
      <c r="L39" s="58">
        <f>'system sheet'!J10</f>
        <v>33.777777777777771</v>
      </c>
      <c r="M39" s="58">
        <f>'system sheet'!K10</f>
        <v>16.888888888888886</v>
      </c>
      <c r="N39" s="58">
        <f>'system sheet'!L10</f>
        <v>0</v>
      </c>
      <c r="O39" s="63"/>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21"/>
      <c r="B40" s="22"/>
      <c r="C40" s="24"/>
      <c r="D40" s="26"/>
      <c r="E40" s="27"/>
      <c r="F40" s="12"/>
      <c r="G40" s="12"/>
      <c r="H40" s="12"/>
      <c r="I40" s="12"/>
      <c r="J40" s="12"/>
      <c r="K40" s="12"/>
      <c r="L40" s="12"/>
      <c r="M40" s="12"/>
      <c r="N40" s="12"/>
      <c r="O40" s="63"/>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66"/>
      <c r="B41" s="67"/>
      <c r="C41" s="63"/>
      <c r="D41" s="68"/>
      <c r="E41" s="69"/>
      <c r="F41" s="63"/>
      <c r="G41" s="63"/>
      <c r="H41" s="63"/>
      <c r="I41" s="63"/>
      <c r="J41" s="63"/>
      <c r="K41" s="63"/>
      <c r="L41" s="63"/>
      <c r="M41" s="63"/>
      <c r="N41" s="63"/>
      <c r="O41" s="63"/>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66"/>
      <c r="B42" s="70"/>
      <c r="C42" s="63"/>
      <c r="D42" s="68"/>
      <c r="E42" s="69"/>
      <c r="F42" s="63"/>
      <c r="G42" s="63"/>
      <c r="H42" s="63"/>
      <c r="I42" s="63"/>
      <c r="J42" s="63"/>
      <c r="K42" s="63"/>
      <c r="L42" s="63"/>
      <c r="M42" s="63"/>
      <c r="N42" s="63"/>
      <c r="O42" s="63"/>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66"/>
      <c r="B43" s="70"/>
      <c r="C43" s="63"/>
      <c r="D43" s="68"/>
      <c r="E43" s="69"/>
      <c r="F43" s="63"/>
      <c r="G43" s="63"/>
      <c r="H43" s="63"/>
      <c r="I43" s="63"/>
      <c r="J43" s="63"/>
      <c r="K43" s="63"/>
      <c r="L43" s="63"/>
      <c r="M43" s="63"/>
      <c r="N43" s="63"/>
      <c r="O43" s="63"/>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66"/>
      <c r="B44" s="70"/>
      <c r="C44" s="63"/>
      <c r="D44" s="68"/>
      <c r="E44" s="69"/>
      <c r="F44" s="63"/>
      <c r="G44" s="63"/>
      <c r="H44" s="63"/>
      <c r="I44" s="63"/>
      <c r="J44" s="63"/>
      <c r="K44" s="63"/>
      <c r="L44" s="63"/>
      <c r="M44" s="63"/>
      <c r="N44" s="63"/>
      <c r="O44" s="63"/>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66"/>
      <c r="B45" s="70"/>
      <c r="C45" s="63"/>
      <c r="D45" s="68"/>
      <c r="E45" s="69"/>
      <c r="F45" s="63"/>
      <c r="G45" s="63"/>
      <c r="H45" s="63"/>
      <c r="I45" s="63"/>
      <c r="J45" s="63"/>
      <c r="K45" s="63"/>
      <c r="L45" s="63"/>
      <c r="M45" s="63"/>
      <c r="N45" s="63"/>
      <c r="O45" s="63"/>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66"/>
      <c r="B46" s="70"/>
      <c r="C46" s="63"/>
      <c r="D46" s="68"/>
      <c r="E46" s="69"/>
      <c r="F46" s="63"/>
      <c r="G46" s="63"/>
      <c r="H46" s="63"/>
      <c r="I46" s="63"/>
      <c r="J46" s="63"/>
      <c r="K46" s="63"/>
      <c r="L46" s="63"/>
      <c r="M46" s="63"/>
      <c r="N46" s="63"/>
      <c r="O46" s="63"/>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66"/>
      <c r="B47" s="70"/>
      <c r="C47" s="63"/>
      <c r="D47" s="68"/>
      <c r="E47" s="69"/>
      <c r="F47" s="63"/>
      <c r="G47" s="63"/>
      <c r="H47" s="63"/>
      <c r="I47" s="63"/>
      <c r="J47" s="63"/>
      <c r="K47" s="63"/>
      <c r="L47" s="63"/>
      <c r="M47" s="63"/>
      <c r="N47" s="63"/>
      <c r="O47" s="63"/>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66"/>
      <c r="B48" s="70"/>
      <c r="C48" s="63"/>
      <c r="D48" s="68"/>
      <c r="E48" s="69"/>
      <c r="F48" s="63"/>
      <c r="G48" s="63"/>
      <c r="H48" s="63"/>
      <c r="I48" s="63"/>
      <c r="J48" s="63"/>
      <c r="K48" s="63"/>
      <c r="L48" s="63"/>
      <c r="M48" s="63"/>
      <c r="N48" s="63"/>
      <c r="O48" s="63"/>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66"/>
      <c r="B49" s="70"/>
      <c r="C49" s="63"/>
      <c r="D49" s="68"/>
      <c r="E49" s="69"/>
      <c r="F49" s="63"/>
      <c r="G49" s="63"/>
      <c r="H49" s="63"/>
      <c r="I49" s="63"/>
      <c r="J49" s="63"/>
      <c r="K49" s="63"/>
      <c r="L49" s="63"/>
      <c r="M49" s="63"/>
      <c r="N49" s="63"/>
      <c r="O49" s="46"/>
    </row>
    <row r="50" spans="1:15" x14ac:dyDescent="0.15">
      <c r="A50" s="66"/>
      <c r="B50" s="70"/>
      <c r="C50" s="63"/>
      <c r="D50" s="68"/>
      <c r="E50" s="69"/>
      <c r="F50" s="63"/>
      <c r="G50" s="63"/>
      <c r="H50" s="63"/>
      <c r="I50" s="63"/>
      <c r="J50" s="63"/>
      <c r="K50" s="63"/>
      <c r="L50" s="63"/>
      <c r="M50" s="63"/>
      <c r="N50" s="63"/>
      <c r="O50" s="46"/>
    </row>
    <row r="51" spans="1:15" x14ac:dyDescent="0.15">
      <c r="A51" s="66"/>
      <c r="B51" s="70"/>
      <c r="C51" s="63"/>
      <c r="D51" s="68"/>
      <c r="E51" s="69"/>
      <c r="F51" s="63"/>
      <c r="G51" s="63"/>
      <c r="H51" s="63"/>
      <c r="I51" s="63"/>
      <c r="J51" s="63"/>
      <c r="K51" s="63"/>
      <c r="L51" s="63"/>
      <c r="M51" s="63"/>
      <c r="N51" s="63"/>
      <c r="O51" s="46"/>
    </row>
    <row r="52" spans="1:15" x14ac:dyDescent="0.15">
      <c r="A52" s="66"/>
      <c r="B52" s="70"/>
      <c r="C52" s="63"/>
      <c r="D52" s="68"/>
      <c r="E52" s="69"/>
      <c r="F52" s="63"/>
      <c r="G52" s="63"/>
      <c r="H52" s="63"/>
      <c r="I52" s="63"/>
      <c r="J52" s="63"/>
      <c r="K52" s="63"/>
      <c r="L52" s="63"/>
      <c r="M52" s="63"/>
      <c r="N52" s="63"/>
      <c r="O52" s="46"/>
    </row>
    <row r="53" spans="1:15" x14ac:dyDescent="0.15">
      <c r="A53" s="66"/>
      <c r="B53" s="70"/>
      <c r="C53" s="63"/>
      <c r="D53" s="68"/>
      <c r="E53" s="69"/>
      <c r="F53" s="63"/>
      <c r="G53" s="63"/>
      <c r="H53" s="63"/>
      <c r="I53" s="63"/>
      <c r="J53" s="63"/>
      <c r="K53" s="63"/>
      <c r="L53" s="63"/>
      <c r="M53" s="63"/>
      <c r="N53" s="63"/>
      <c r="O53" s="46"/>
    </row>
    <row r="54" spans="1:15" x14ac:dyDescent="0.15">
      <c r="A54" s="66"/>
      <c r="B54" s="70"/>
      <c r="C54" s="63"/>
      <c r="D54" s="68"/>
      <c r="E54" s="69"/>
      <c r="F54" s="63"/>
      <c r="G54" s="63"/>
      <c r="H54" s="63"/>
      <c r="I54" s="63"/>
      <c r="J54" s="63"/>
      <c r="K54" s="63"/>
      <c r="L54" s="63"/>
      <c r="M54" s="63"/>
      <c r="N54" s="63"/>
      <c r="O54" s="46"/>
    </row>
    <row r="55" spans="1:15" x14ac:dyDescent="0.15">
      <c r="A55" s="66"/>
      <c r="B55" s="70"/>
      <c r="C55" s="63"/>
      <c r="D55" s="68"/>
      <c r="E55" s="69"/>
      <c r="F55" s="63"/>
      <c r="G55" s="63"/>
      <c r="H55" s="63"/>
      <c r="I55" s="63"/>
      <c r="J55" s="63"/>
      <c r="K55" s="63"/>
      <c r="L55" s="63"/>
      <c r="M55" s="63"/>
      <c r="N55" s="63"/>
      <c r="O55" s="46"/>
    </row>
    <row r="56" spans="1:15" x14ac:dyDescent="0.15">
      <c r="A56" s="66"/>
      <c r="B56" s="70"/>
      <c r="C56" s="63"/>
      <c r="D56" s="68"/>
      <c r="E56" s="69"/>
      <c r="F56" s="63"/>
      <c r="G56" s="63"/>
      <c r="H56" s="63"/>
      <c r="I56" s="63"/>
      <c r="J56" s="63"/>
      <c r="K56" s="63"/>
      <c r="L56" s="63"/>
      <c r="M56" s="63"/>
      <c r="N56" s="63"/>
      <c r="O56" s="46"/>
    </row>
    <row r="57" spans="1:15" x14ac:dyDescent="0.15">
      <c r="A57" s="66"/>
      <c r="B57" s="70"/>
      <c r="C57" s="63"/>
      <c r="D57" s="68"/>
      <c r="E57" s="69"/>
      <c r="F57" s="63"/>
      <c r="G57" s="63"/>
      <c r="H57" s="63"/>
      <c r="I57" s="63"/>
      <c r="J57" s="63"/>
      <c r="K57" s="63"/>
      <c r="L57" s="63"/>
      <c r="M57" s="63"/>
      <c r="N57" s="63"/>
      <c r="O57" s="46"/>
    </row>
    <row r="58" spans="1:15" x14ac:dyDescent="0.15">
      <c r="A58" s="66"/>
      <c r="B58" s="70"/>
      <c r="C58" s="63"/>
      <c r="D58" s="68"/>
      <c r="E58" s="69"/>
      <c r="F58" s="63"/>
      <c r="G58" s="63"/>
      <c r="H58" s="63"/>
      <c r="I58" s="63"/>
      <c r="J58" s="63"/>
      <c r="K58" s="63"/>
      <c r="L58" s="63"/>
      <c r="M58" s="63"/>
      <c r="N58" s="63"/>
      <c r="O58" s="46"/>
    </row>
    <row r="59" spans="1:15" x14ac:dyDescent="0.15">
      <c r="A59" s="66"/>
      <c r="B59" s="70"/>
      <c r="C59" s="63"/>
      <c r="D59" s="68"/>
      <c r="E59" s="69"/>
      <c r="F59" s="63"/>
      <c r="G59" s="63"/>
      <c r="H59" s="63"/>
      <c r="I59" s="63"/>
      <c r="J59" s="63"/>
      <c r="K59" s="63"/>
      <c r="L59" s="63"/>
      <c r="M59" s="63"/>
      <c r="N59" s="63"/>
      <c r="O59" s="46"/>
    </row>
    <row r="60" spans="1:15" x14ac:dyDescent="0.15">
      <c r="A60" s="66"/>
      <c r="B60" s="70"/>
      <c r="C60" s="63"/>
      <c r="D60" s="68"/>
      <c r="E60" s="63"/>
      <c r="F60" s="46"/>
      <c r="G60" s="46"/>
      <c r="H60" s="46"/>
      <c r="I60" s="46"/>
      <c r="J60" s="46"/>
      <c r="K60" s="46"/>
      <c r="L60" s="46"/>
      <c r="M60" s="46"/>
      <c r="N60" s="46"/>
      <c r="O60" s="46"/>
    </row>
    <row r="61" spans="1:15" x14ac:dyDescent="0.15">
      <c r="A61" s="66"/>
      <c r="B61" s="63"/>
      <c r="C61" s="63"/>
      <c r="D61" s="68"/>
      <c r="E61" s="46"/>
      <c r="F61" s="46"/>
      <c r="G61" s="46"/>
      <c r="H61" s="46"/>
      <c r="I61" s="46"/>
      <c r="J61" s="46"/>
      <c r="K61" s="46"/>
      <c r="L61" s="46"/>
      <c r="M61" s="46"/>
      <c r="N61" s="46"/>
      <c r="O61" s="46"/>
    </row>
    <row r="62" spans="1:15" x14ac:dyDescent="0.15">
      <c r="A62" s="66"/>
      <c r="B62" s="63"/>
      <c r="C62" s="63"/>
      <c r="D62" s="63"/>
      <c r="E62" s="46"/>
      <c r="F62" s="46"/>
      <c r="G62" s="46"/>
      <c r="H62" s="46"/>
      <c r="I62" s="46"/>
      <c r="J62" s="46"/>
      <c r="K62" s="46"/>
      <c r="L62" s="46"/>
      <c r="M62" s="46"/>
      <c r="N62" s="46"/>
      <c r="O62" s="46"/>
    </row>
    <row r="63" spans="1:15" x14ac:dyDescent="0.15">
      <c r="A63" s="66"/>
      <c r="B63" s="63"/>
      <c r="C63" s="63"/>
      <c r="D63" s="63"/>
      <c r="E63" s="46"/>
      <c r="F63" s="46"/>
      <c r="G63" s="46"/>
      <c r="H63" s="46"/>
      <c r="I63" s="46"/>
      <c r="J63" s="46"/>
      <c r="K63" s="46"/>
      <c r="L63" s="46"/>
      <c r="M63" s="46"/>
      <c r="N63" s="46"/>
      <c r="O63" s="46"/>
    </row>
    <row r="64" spans="1:15" x14ac:dyDescent="0.15">
      <c r="A64" s="66"/>
      <c r="B64" s="63"/>
      <c r="C64" s="63"/>
      <c r="D64" s="63"/>
      <c r="E64" s="46"/>
      <c r="F64" s="46"/>
      <c r="G64" s="46"/>
      <c r="H64" s="46"/>
      <c r="I64" s="46"/>
      <c r="J64" s="46"/>
      <c r="K64" s="46"/>
      <c r="L64" s="46"/>
      <c r="M64" s="46"/>
      <c r="N64" s="46"/>
      <c r="O64" s="46"/>
    </row>
    <row r="65" spans="1:15" x14ac:dyDescent="0.15">
      <c r="A65" s="66"/>
      <c r="B65" s="63"/>
      <c r="C65" s="63"/>
      <c r="D65" s="63"/>
      <c r="E65" s="46"/>
      <c r="F65" s="46"/>
      <c r="G65" s="46"/>
      <c r="H65" s="46"/>
      <c r="I65" s="46"/>
      <c r="J65" s="46"/>
      <c r="K65" s="46"/>
      <c r="L65" s="46"/>
      <c r="M65" s="46"/>
      <c r="N65" s="46"/>
      <c r="O65" s="46"/>
    </row>
    <row r="66" spans="1:15" x14ac:dyDescent="0.15">
      <c r="A66" s="66"/>
      <c r="B66" s="63"/>
      <c r="C66" s="63"/>
      <c r="D66" s="63"/>
      <c r="E66" s="46"/>
      <c r="F66" s="46"/>
      <c r="G66" s="46"/>
      <c r="H66" s="46"/>
      <c r="I66" s="46"/>
      <c r="J66" s="46"/>
      <c r="K66" s="46"/>
      <c r="L66" s="46"/>
      <c r="M66" s="46"/>
      <c r="N66" s="46"/>
      <c r="O66" s="46"/>
    </row>
    <row r="67" spans="1:15" x14ac:dyDescent="0.15">
      <c r="A67" s="66"/>
      <c r="B67" s="63"/>
      <c r="C67" s="63"/>
      <c r="D67" s="63"/>
      <c r="E67" s="46"/>
      <c r="F67" s="46"/>
      <c r="G67" s="46"/>
      <c r="H67" s="46"/>
      <c r="I67" s="46"/>
      <c r="J67" s="46"/>
      <c r="K67" s="46"/>
      <c r="L67" s="46"/>
      <c r="M67" s="46"/>
      <c r="N67" s="46"/>
      <c r="O67" s="46"/>
    </row>
    <row r="68" spans="1:15" x14ac:dyDescent="0.15">
      <c r="A68" s="71"/>
      <c r="B68" s="63"/>
      <c r="C68" s="63"/>
      <c r="D68" s="63"/>
      <c r="E68" s="46"/>
      <c r="F68" s="46"/>
      <c r="G68" s="46"/>
      <c r="H68" s="46"/>
      <c r="I68" s="46"/>
      <c r="J68" s="46"/>
      <c r="K68" s="46"/>
      <c r="L68" s="46"/>
      <c r="M68" s="46"/>
      <c r="N68" s="46"/>
      <c r="O68" s="46"/>
    </row>
    <row r="69" spans="1:15" x14ac:dyDescent="0.15">
      <c r="A69" s="71"/>
      <c r="B69" s="63"/>
      <c r="C69" s="63"/>
      <c r="D69" s="63"/>
      <c r="E69" s="46"/>
      <c r="F69" s="46"/>
      <c r="G69" s="46"/>
      <c r="H69" s="46"/>
      <c r="I69" s="46"/>
      <c r="J69" s="46"/>
      <c r="K69" s="46"/>
      <c r="L69" s="46"/>
      <c r="M69" s="46"/>
      <c r="N69" s="46"/>
      <c r="O69" s="46"/>
    </row>
    <row r="70" spans="1:15" x14ac:dyDescent="0.15">
      <c r="A70" s="63"/>
      <c r="B70" s="63"/>
      <c r="C70" s="63"/>
      <c r="D70" s="63"/>
      <c r="E70" s="46"/>
      <c r="F70" s="46"/>
      <c r="G70" s="46"/>
      <c r="H70" s="46"/>
      <c r="I70" s="46"/>
      <c r="J70" s="46"/>
      <c r="K70" s="46"/>
      <c r="L70" s="46"/>
      <c r="M70" s="46"/>
      <c r="N70" s="46"/>
      <c r="O70" s="46"/>
    </row>
    <row r="71" spans="1:15" x14ac:dyDescent="0.15">
      <c r="A71" s="63"/>
      <c r="B71" s="63"/>
      <c r="C71" s="63"/>
      <c r="D71" s="63"/>
      <c r="E71" s="46"/>
      <c r="F71" s="46"/>
      <c r="G71" s="46"/>
      <c r="H71" s="46"/>
      <c r="I71" s="46"/>
      <c r="J71" s="46"/>
      <c r="K71" s="46"/>
      <c r="L71" s="46"/>
      <c r="M71" s="46"/>
      <c r="N71" s="46"/>
      <c r="O71" s="46"/>
    </row>
    <row r="72" spans="1:15" x14ac:dyDescent="0.15">
      <c r="A72" s="63"/>
      <c r="B72" s="63"/>
      <c r="C72" s="63"/>
      <c r="D72" s="63"/>
      <c r="E72" s="46"/>
      <c r="F72" s="46"/>
      <c r="G72" s="46"/>
      <c r="H72" s="46"/>
      <c r="I72" s="46"/>
      <c r="J72" s="46"/>
      <c r="K72" s="46"/>
      <c r="L72" s="46"/>
      <c r="M72" s="46"/>
      <c r="N72" s="46"/>
      <c r="O72" s="46"/>
    </row>
    <row r="73" spans="1:15" x14ac:dyDescent="0.15">
      <c r="A73" s="63"/>
      <c r="B73" s="63"/>
      <c r="C73" s="63"/>
      <c r="D73" s="63"/>
      <c r="E73" s="46"/>
      <c r="F73" s="46"/>
      <c r="G73" s="46"/>
      <c r="H73" s="46"/>
      <c r="I73" s="46"/>
      <c r="J73" s="46"/>
      <c r="K73" s="46"/>
      <c r="L73" s="46"/>
      <c r="M73" s="46"/>
      <c r="N73" s="46"/>
      <c r="O73" s="46"/>
    </row>
    <row r="74" spans="1:15" x14ac:dyDescent="0.15">
      <c r="A74" s="63"/>
      <c r="B74" s="63"/>
      <c r="C74" s="63"/>
      <c r="D74" s="63"/>
      <c r="E74" s="46"/>
      <c r="F74" s="46"/>
      <c r="G74" s="46"/>
      <c r="H74" s="46"/>
      <c r="I74" s="46"/>
      <c r="J74" s="46"/>
      <c r="K74" s="46"/>
      <c r="L74" s="46"/>
      <c r="M74" s="46"/>
      <c r="N74" s="46"/>
      <c r="O74" s="46"/>
    </row>
    <row r="75" spans="1:15" x14ac:dyDescent="0.15">
      <c r="A75" s="63"/>
      <c r="B75" s="63"/>
      <c r="C75" s="63"/>
      <c r="D75" s="63"/>
      <c r="E75" s="46"/>
      <c r="F75" s="46"/>
      <c r="G75" s="46"/>
      <c r="H75" s="46"/>
      <c r="I75" s="46"/>
      <c r="J75" s="46"/>
      <c r="K75" s="46"/>
      <c r="L75" s="46"/>
      <c r="M75" s="46"/>
      <c r="N75" s="46"/>
      <c r="O75" s="46"/>
    </row>
    <row r="76" spans="1:15" x14ac:dyDescent="0.15">
      <c r="A76" s="63"/>
      <c r="B76" s="63"/>
      <c r="C76" s="63"/>
      <c r="D76" s="63"/>
      <c r="E76" s="46"/>
      <c r="F76" s="46"/>
      <c r="G76" s="46"/>
      <c r="H76" s="46"/>
      <c r="I76" s="46"/>
      <c r="J76" s="46"/>
      <c r="K76" s="46"/>
      <c r="L76" s="46"/>
      <c r="M76" s="46"/>
      <c r="N76" s="46"/>
      <c r="O76" s="46"/>
    </row>
    <row r="77" spans="1:15" x14ac:dyDescent="0.15">
      <c r="A77" s="63"/>
      <c r="B77" s="63"/>
      <c r="C77" s="63"/>
      <c r="D77" s="63"/>
      <c r="E77" s="46"/>
      <c r="F77" s="46"/>
      <c r="G77" s="46"/>
      <c r="H77" s="46"/>
      <c r="I77" s="46"/>
      <c r="J77" s="46"/>
      <c r="K77" s="46"/>
      <c r="L77" s="46"/>
      <c r="M77" s="46"/>
      <c r="N77" s="46"/>
      <c r="O77" s="46"/>
    </row>
    <row r="78" spans="1:15" x14ac:dyDescent="0.15">
      <c r="A78" s="63"/>
      <c r="B78" s="63"/>
      <c r="C78" s="63"/>
      <c r="D78" s="63"/>
      <c r="E78" s="46"/>
      <c r="F78" s="46"/>
      <c r="G78" s="46"/>
      <c r="H78" s="46"/>
      <c r="I78" s="46"/>
      <c r="J78" s="46"/>
      <c r="K78" s="46"/>
      <c r="L78" s="46"/>
      <c r="M78" s="46"/>
      <c r="N78" s="46"/>
      <c r="O78" s="46"/>
    </row>
    <row r="79" spans="1:15" x14ac:dyDescent="0.15">
      <c r="A79" s="63"/>
      <c r="B79" s="63"/>
      <c r="C79" s="63"/>
      <c r="D79" s="63"/>
      <c r="E79" s="46"/>
      <c r="F79" s="46"/>
      <c r="G79" s="46"/>
      <c r="H79" s="46"/>
      <c r="I79" s="46"/>
      <c r="J79" s="46"/>
      <c r="K79" s="46"/>
      <c r="L79" s="46"/>
      <c r="M79" s="46"/>
      <c r="N79" s="46"/>
      <c r="O79" s="46"/>
    </row>
    <row r="80" spans="1:15" x14ac:dyDescent="0.15">
      <c r="A80" s="63"/>
      <c r="B80" s="63"/>
      <c r="C80" s="63"/>
      <c r="D80" s="63"/>
      <c r="E80" s="46"/>
      <c r="F80" s="46"/>
      <c r="G80" s="46"/>
      <c r="H80" s="46"/>
      <c r="I80" s="46"/>
      <c r="J80" s="46"/>
      <c r="K80" s="46"/>
      <c r="L80" s="46"/>
      <c r="M80" s="46"/>
      <c r="N80" s="46"/>
      <c r="O80" s="46"/>
    </row>
    <row r="81" spans="1:14" x14ac:dyDescent="0.15">
      <c r="A81" s="63"/>
      <c r="B81" s="63"/>
      <c r="C81" s="63"/>
      <c r="D81" s="63"/>
      <c r="E81" s="46"/>
      <c r="F81" s="46"/>
      <c r="G81" s="46"/>
      <c r="H81" s="46"/>
      <c r="I81" s="46"/>
      <c r="J81" s="46"/>
      <c r="K81" s="46"/>
      <c r="L81" s="46"/>
      <c r="M81" s="46"/>
      <c r="N81" s="46"/>
    </row>
    <row r="82" spans="1:14" x14ac:dyDescent="0.15">
      <c r="A82" s="63"/>
      <c r="B82" s="63"/>
      <c r="C82" s="63"/>
      <c r="D82" s="63"/>
      <c r="E82" s="46"/>
      <c r="F82" s="46"/>
      <c r="G82" s="46"/>
      <c r="H82" s="46"/>
      <c r="I82" s="46"/>
      <c r="J82" s="46"/>
      <c r="K82" s="46"/>
      <c r="L82" s="46"/>
      <c r="M82" s="46"/>
      <c r="N82" s="46"/>
    </row>
    <row r="83" spans="1:14" x14ac:dyDescent="0.15">
      <c r="A83" s="63"/>
      <c r="B83" s="63"/>
      <c r="C83" s="63"/>
      <c r="D83" s="63"/>
      <c r="E83" s="46"/>
      <c r="F83" s="46"/>
      <c r="G83" s="46"/>
      <c r="H83" s="46"/>
      <c r="I83" s="46"/>
      <c r="J83" s="46"/>
      <c r="K83" s="46"/>
      <c r="L83" s="46"/>
      <c r="M83" s="46"/>
      <c r="N83" s="46"/>
    </row>
    <row r="84" spans="1:14" x14ac:dyDescent="0.15">
      <c r="A84" s="63"/>
      <c r="B84" s="63"/>
      <c r="C84" s="63"/>
      <c r="D84" s="63"/>
      <c r="E84" s="46"/>
      <c r="F84" s="46"/>
      <c r="G84" s="46"/>
      <c r="H84" s="46"/>
      <c r="I84" s="46"/>
      <c r="J84" s="46"/>
      <c r="K84" s="46"/>
      <c r="L84" s="46"/>
      <c r="M84" s="46"/>
      <c r="N84" s="46"/>
    </row>
    <row r="85" spans="1:14" x14ac:dyDescent="0.15">
      <c r="A85" s="63"/>
      <c r="B85" s="63"/>
      <c r="C85" s="63"/>
      <c r="D85" s="63"/>
      <c r="E85" s="46"/>
      <c r="F85" s="46"/>
      <c r="G85" s="46"/>
      <c r="H85" s="46"/>
      <c r="I85" s="46"/>
      <c r="J85" s="46"/>
      <c r="K85" s="46"/>
      <c r="L85" s="46"/>
      <c r="M85" s="46"/>
      <c r="N85" s="46"/>
    </row>
    <row r="86" spans="1:14" x14ac:dyDescent="0.15">
      <c r="A86" s="63"/>
      <c r="B86" s="63"/>
      <c r="C86" s="63"/>
      <c r="D86" s="63"/>
      <c r="E86" s="46"/>
      <c r="F86" s="46"/>
      <c r="G86" s="46"/>
      <c r="H86" s="46"/>
      <c r="I86" s="46"/>
      <c r="J86" s="46"/>
      <c r="K86" s="46"/>
      <c r="L86" s="46"/>
      <c r="M86" s="46"/>
      <c r="N86" s="46"/>
    </row>
    <row r="87" spans="1:14" x14ac:dyDescent="0.15">
      <c r="A87" s="63"/>
      <c r="B87" s="63"/>
      <c r="C87" s="63"/>
      <c r="D87" s="63"/>
      <c r="E87" s="46"/>
      <c r="F87" s="46"/>
      <c r="G87" s="46"/>
      <c r="H87" s="46"/>
      <c r="I87" s="46"/>
      <c r="J87" s="46"/>
      <c r="K87" s="46"/>
      <c r="L87" s="46"/>
      <c r="M87" s="46"/>
      <c r="N87" s="46"/>
    </row>
    <row r="88" spans="1:14" x14ac:dyDescent="0.15">
      <c r="A88" s="63"/>
      <c r="B88" s="63"/>
      <c r="C88" s="63"/>
      <c r="D88" s="63"/>
      <c r="E88" s="46"/>
      <c r="F88" s="46"/>
      <c r="G88" s="46"/>
      <c r="H88" s="46"/>
      <c r="I88" s="46"/>
      <c r="J88" s="46"/>
      <c r="K88" s="46"/>
      <c r="L88" s="46"/>
      <c r="M88" s="46"/>
      <c r="N88" s="46"/>
    </row>
    <row r="89" spans="1:14" x14ac:dyDescent="0.15">
      <c r="A89" s="63"/>
      <c r="B89" s="63"/>
      <c r="C89" s="63"/>
      <c r="D89" s="63"/>
      <c r="E89" s="46"/>
      <c r="F89" s="46"/>
      <c r="G89" s="46"/>
      <c r="H89" s="46"/>
      <c r="I89" s="46"/>
      <c r="J89" s="46"/>
      <c r="K89" s="46"/>
      <c r="L89" s="46"/>
      <c r="M89" s="46"/>
      <c r="N89" s="46"/>
    </row>
    <row r="90" spans="1:14" ht="14.25" customHeight="1" x14ac:dyDescent="0.15">
      <c r="A90" s="63"/>
      <c r="B90" s="63"/>
      <c r="C90" s="63"/>
      <c r="D90" s="63"/>
      <c r="E90" s="46"/>
      <c r="F90" s="46"/>
      <c r="G90" s="46"/>
      <c r="H90" s="46"/>
      <c r="I90" s="46"/>
      <c r="J90" s="46"/>
      <c r="K90" s="46"/>
      <c r="L90" s="46"/>
      <c r="M90" s="46"/>
      <c r="N90" s="46"/>
    </row>
    <row r="91" spans="1:14" x14ac:dyDescent="0.15">
      <c r="A91" s="63"/>
      <c r="B91" s="63"/>
      <c r="C91" s="63"/>
      <c r="D91" s="63"/>
      <c r="E91" s="46"/>
      <c r="F91" s="46"/>
      <c r="G91" s="46"/>
      <c r="H91" s="46"/>
      <c r="I91" s="46"/>
      <c r="J91" s="46"/>
      <c r="K91" s="46"/>
      <c r="L91" s="46"/>
      <c r="M91" s="46"/>
      <c r="N91" s="46"/>
    </row>
    <row r="92" spans="1:14" x14ac:dyDescent="0.15">
      <c r="A92" s="24"/>
      <c r="B92" s="24"/>
      <c r="C92" s="24"/>
      <c r="D92" s="24"/>
    </row>
    <row r="93" spans="1:14" x14ac:dyDescent="0.15">
      <c r="A93" s="24"/>
      <c r="B93" s="24"/>
      <c r="C93" s="24"/>
      <c r="D93" s="24"/>
    </row>
    <row r="94" spans="1:14" x14ac:dyDescent="0.15">
      <c r="A94" s="24"/>
      <c r="B94" s="24"/>
      <c r="C94" s="24"/>
      <c r="D94" s="24"/>
    </row>
    <row r="95" spans="1:14" x14ac:dyDescent="0.15">
      <c r="A95" s="24"/>
      <c r="B95" s="24"/>
      <c r="C95" s="24"/>
      <c r="D95" s="24"/>
    </row>
    <row r="96" spans="1:14" x14ac:dyDescent="0.15">
      <c r="A96" s="24"/>
      <c r="B96" s="24"/>
      <c r="C96" s="24"/>
      <c r="D96" s="24"/>
    </row>
    <row r="97" spans="1:4" x14ac:dyDescent="0.15">
      <c r="A97" s="24"/>
      <c r="B97" s="24"/>
      <c r="C97" s="24"/>
      <c r="D97" s="24"/>
    </row>
    <row r="98" spans="1:4" x14ac:dyDescent="0.15">
      <c r="A98" s="24"/>
      <c r="B98" s="24"/>
      <c r="C98" s="24"/>
      <c r="D98" s="24"/>
    </row>
    <row r="99" spans="1:4" x14ac:dyDescent="0.15">
      <c r="A99" s="24"/>
      <c r="B99" s="24"/>
      <c r="C99" s="24"/>
      <c r="D99" s="24"/>
    </row>
  </sheetData>
  <autoFilter ref="A6:E38"/>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79"/>
  <sheetViews>
    <sheetView tabSelected="1"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customWidth="1"/>
    <col min="5" max="14" width="7" customWidth="1"/>
    <col min="15" max="15" width="30.83203125" customWidth="1"/>
  </cols>
  <sheetData>
    <row r="1" spans="1:88" ht="53.25" customHeight="1" x14ac:dyDescent="0.35">
      <c r="A1" s="46"/>
      <c r="B1" s="59" t="s">
        <v>10</v>
      </c>
      <c r="C1" s="118" t="s">
        <v>35</v>
      </c>
      <c r="D1" s="119">
        <v>42793</v>
      </c>
      <c r="E1" s="46"/>
      <c r="F1" s="104"/>
      <c r="G1" s="104"/>
      <c r="H1" s="104"/>
      <c r="I1" s="104"/>
      <c r="J1" s="104"/>
      <c r="K1" s="104"/>
      <c r="L1" s="104"/>
      <c r="M1" s="104"/>
      <c r="N1" s="104"/>
      <c r="O1" s="46"/>
    </row>
    <row r="2" spans="1:88" ht="32.25" customHeight="1" x14ac:dyDescent="0.35">
      <c r="A2" s="46"/>
      <c r="B2" s="59" t="s">
        <v>166</v>
      </c>
      <c r="C2" s="118" t="s">
        <v>36</v>
      </c>
      <c r="D2" s="119">
        <v>42799</v>
      </c>
      <c r="E2" s="46"/>
      <c r="F2" s="46" t="s">
        <v>47</v>
      </c>
      <c r="G2" s="46"/>
      <c r="H2" s="46">
        <v>42498.606678240743</v>
      </c>
      <c r="I2" s="46"/>
      <c r="J2" s="46"/>
      <c r="K2" s="46"/>
      <c r="L2" s="46"/>
      <c r="M2" s="46"/>
      <c r="N2" s="46"/>
      <c r="O2" s="63"/>
      <c r="P2" s="12"/>
      <c r="Q2" s="12"/>
      <c r="R2" s="12"/>
      <c r="S2" s="12"/>
      <c r="T2" s="12"/>
      <c r="U2" s="12"/>
      <c r="V2" s="12"/>
      <c r="W2" s="12"/>
      <c r="X2" s="12"/>
      <c r="Y2" s="12"/>
      <c r="Z2" s="12"/>
    </row>
    <row r="3" spans="1:88" ht="17.25" customHeight="1" x14ac:dyDescent="0.15">
      <c r="A3" s="46"/>
      <c r="B3" s="46"/>
      <c r="C3" s="118" t="s">
        <v>34</v>
      </c>
      <c r="D3" s="62">
        <f>D16</f>
        <v>84</v>
      </c>
      <c r="E3" s="46"/>
      <c r="F3" s="46"/>
      <c r="G3" s="46"/>
      <c r="H3" s="46"/>
      <c r="I3" s="46"/>
      <c r="J3" s="46"/>
      <c r="K3" s="46"/>
      <c r="L3" s="46"/>
      <c r="M3" s="46"/>
      <c r="N3" s="46"/>
      <c r="O3" s="63"/>
      <c r="P3" s="12"/>
      <c r="Q3" s="12"/>
      <c r="R3" s="12"/>
      <c r="S3" s="12"/>
      <c r="T3" s="12"/>
      <c r="U3" s="12"/>
      <c r="V3" s="12"/>
      <c r="W3" s="12"/>
      <c r="X3" s="12"/>
      <c r="Y3" s="12"/>
      <c r="Z3" s="12"/>
    </row>
    <row r="4" spans="1:88" ht="17.25" customHeight="1" x14ac:dyDescent="0.15">
      <c r="A4" s="46"/>
      <c r="B4" s="46"/>
      <c r="C4" s="118" t="s">
        <v>41</v>
      </c>
      <c r="D4" s="112" t="s">
        <v>125</v>
      </c>
      <c r="E4" s="112"/>
      <c r="F4" s="112"/>
      <c r="G4" s="112"/>
      <c r="H4" s="112"/>
      <c r="I4" s="112"/>
      <c r="J4" s="112"/>
      <c r="K4" s="112"/>
      <c r="L4" s="112"/>
      <c r="M4" s="112"/>
      <c r="N4" s="112"/>
      <c r="O4" s="63"/>
      <c r="P4" s="12"/>
      <c r="Q4" s="12"/>
      <c r="R4" s="12"/>
      <c r="S4" s="12"/>
      <c r="T4" s="12"/>
      <c r="U4" s="12"/>
      <c r="V4" s="12"/>
      <c r="W4" s="12"/>
      <c r="X4" s="12"/>
      <c r="Y4" s="12"/>
      <c r="Z4" s="12"/>
    </row>
    <row r="5" spans="1:88" ht="17.25" customHeight="1" thickBot="1" x14ac:dyDescent="0.2">
      <c r="A5" s="46"/>
      <c r="B5" s="46"/>
      <c r="C5" s="118"/>
      <c r="D5" s="119"/>
      <c r="E5" s="46"/>
      <c r="F5" s="46"/>
      <c r="G5" s="46"/>
      <c r="H5" s="46"/>
      <c r="I5" s="46"/>
      <c r="J5" s="46"/>
      <c r="K5" s="46"/>
      <c r="L5" s="46"/>
      <c r="M5" s="46"/>
      <c r="N5" s="46"/>
      <c r="O5" s="63"/>
      <c r="P5" s="12"/>
      <c r="Q5" s="12"/>
      <c r="R5" s="12"/>
      <c r="S5" s="12"/>
      <c r="T5" s="12"/>
      <c r="U5" s="12"/>
      <c r="V5" s="12"/>
      <c r="W5" s="12"/>
      <c r="X5" s="12"/>
      <c r="Y5" s="12"/>
      <c r="Z5" s="12"/>
    </row>
    <row r="6" spans="1:88" ht="32.25" customHeight="1" thickBot="1" x14ac:dyDescent="0.2">
      <c r="A6" s="8" t="s">
        <v>2</v>
      </c>
      <c r="B6" s="9" t="s">
        <v>39</v>
      </c>
      <c r="C6" s="10" t="s">
        <v>38</v>
      </c>
      <c r="D6" s="11" t="s">
        <v>46</v>
      </c>
      <c r="E6" s="44">
        <v>39654</v>
      </c>
      <c r="F6" s="44">
        <v>39657</v>
      </c>
      <c r="G6" s="44">
        <v>39658</v>
      </c>
      <c r="H6" s="44">
        <v>39659</v>
      </c>
      <c r="I6" s="44">
        <v>39660</v>
      </c>
      <c r="J6" s="43">
        <v>39661</v>
      </c>
      <c r="K6" s="63"/>
      <c r="L6" s="42"/>
      <c r="M6" s="42"/>
      <c r="N6" s="42"/>
      <c r="O6" s="42"/>
      <c r="P6" s="42"/>
      <c r="Q6" s="42"/>
      <c r="R6" s="42"/>
      <c r="S6" s="42"/>
      <c r="T6" s="42"/>
      <c r="U6" s="4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row>
    <row r="7" spans="1:88" x14ac:dyDescent="0.15">
      <c r="A7" s="41" t="s">
        <v>180</v>
      </c>
      <c r="B7" s="13" t="s">
        <v>181</v>
      </c>
      <c r="C7" s="35">
        <v>34</v>
      </c>
      <c r="D7" s="38">
        <v>15</v>
      </c>
      <c r="E7" s="14">
        <v>12</v>
      </c>
      <c r="F7" s="14">
        <v>8</v>
      </c>
      <c r="G7" s="15">
        <v>8</v>
      </c>
      <c r="H7" s="15">
        <v>7</v>
      </c>
      <c r="I7" s="15">
        <v>2</v>
      </c>
      <c r="J7" s="15">
        <v>0</v>
      </c>
      <c r="K7" s="46"/>
    </row>
    <row r="8" spans="1:88" x14ac:dyDescent="0.15">
      <c r="A8" s="40" t="s">
        <v>180</v>
      </c>
      <c r="B8" s="18" t="s">
        <v>182</v>
      </c>
      <c r="C8" s="36">
        <v>34</v>
      </c>
      <c r="D8" s="39">
        <v>3</v>
      </c>
      <c r="E8" s="15">
        <v>3</v>
      </c>
      <c r="F8" s="15">
        <v>3</v>
      </c>
      <c r="G8" s="15">
        <v>3</v>
      </c>
      <c r="H8" s="15">
        <v>3</v>
      </c>
      <c r="I8" s="15">
        <v>3</v>
      </c>
      <c r="J8" s="15">
        <v>0</v>
      </c>
      <c r="K8" s="46"/>
    </row>
    <row r="9" spans="1:88" ht="22" x14ac:dyDescent="0.15">
      <c r="A9" s="40" t="s">
        <v>183</v>
      </c>
      <c r="B9" s="18" t="s">
        <v>184</v>
      </c>
      <c r="C9" s="36">
        <v>28</v>
      </c>
      <c r="D9" s="38">
        <v>5</v>
      </c>
      <c r="E9" s="15">
        <v>5</v>
      </c>
      <c r="F9" s="15">
        <v>5</v>
      </c>
      <c r="G9" s="15">
        <v>5</v>
      </c>
      <c r="H9" s="15">
        <v>5</v>
      </c>
      <c r="I9" s="15">
        <v>5</v>
      </c>
      <c r="J9" s="15">
        <v>0</v>
      </c>
      <c r="K9" s="46"/>
    </row>
    <row r="10" spans="1:88" ht="22" x14ac:dyDescent="0.15">
      <c r="A10" s="40" t="s">
        <v>169</v>
      </c>
      <c r="B10" s="18" t="s">
        <v>185</v>
      </c>
      <c r="C10" s="36">
        <v>50</v>
      </c>
      <c r="D10" s="38">
        <v>32</v>
      </c>
      <c r="E10" s="45">
        <v>32</v>
      </c>
      <c r="F10" s="15">
        <v>28</v>
      </c>
      <c r="G10" s="15">
        <v>24</v>
      </c>
      <c r="H10" s="15">
        <v>19</v>
      </c>
      <c r="I10" s="15">
        <v>9</v>
      </c>
      <c r="J10" s="15">
        <v>0</v>
      </c>
      <c r="K10" s="46"/>
    </row>
    <row r="11" spans="1:88" x14ac:dyDescent="0.15">
      <c r="A11" s="40" t="s">
        <v>169</v>
      </c>
      <c r="B11" s="18" t="s">
        <v>186</v>
      </c>
      <c r="C11" s="36">
        <v>50</v>
      </c>
      <c r="D11" s="38">
        <v>4</v>
      </c>
      <c r="E11" s="45">
        <v>4</v>
      </c>
      <c r="F11" s="15">
        <v>4</v>
      </c>
      <c r="G11" s="15">
        <v>0</v>
      </c>
      <c r="H11" s="15">
        <v>0</v>
      </c>
      <c r="I11" s="15">
        <v>0</v>
      </c>
      <c r="J11" s="15">
        <v>0</v>
      </c>
      <c r="K11" s="46"/>
    </row>
    <row r="12" spans="1:88" ht="22" x14ac:dyDescent="0.15">
      <c r="A12" s="40" t="s">
        <v>131</v>
      </c>
      <c r="B12" s="18" t="s">
        <v>187</v>
      </c>
      <c r="C12" s="36">
        <v>48</v>
      </c>
      <c r="D12" s="38">
        <v>12</v>
      </c>
      <c r="E12" s="45">
        <v>12</v>
      </c>
      <c r="F12" s="15">
        <v>12</v>
      </c>
      <c r="G12" s="15">
        <v>10</v>
      </c>
      <c r="H12" s="15">
        <v>4</v>
      </c>
      <c r="I12" s="15">
        <v>1</v>
      </c>
      <c r="J12" s="15">
        <v>0</v>
      </c>
      <c r="K12" s="46"/>
    </row>
    <row r="13" spans="1:88" x14ac:dyDescent="0.15">
      <c r="A13" s="40" t="s">
        <v>148</v>
      </c>
      <c r="B13" s="18" t="s">
        <v>188</v>
      </c>
      <c r="C13" s="36">
        <v>93</v>
      </c>
      <c r="D13" s="38">
        <v>3</v>
      </c>
      <c r="E13" s="45">
        <v>3</v>
      </c>
      <c r="F13" s="15">
        <v>3</v>
      </c>
      <c r="G13" s="15">
        <v>3</v>
      </c>
      <c r="H13" s="15">
        <v>3</v>
      </c>
      <c r="I13" s="15">
        <v>3</v>
      </c>
      <c r="J13" s="15">
        <v>0</v>
      </c>
      <c r="K13" s="46"/>
    </row>
    <row r="14" spans="1:88" ht="22" x14ac:dyDescent="0.15">
      <c r="A14" s="40" t="s">
        <v>189</v>
      </c>
      <c r="B14" s="18" t="s">
        <v>190</v>
      </c>
      <c r="C14" s="36">
        <v>35</v>
      </c>
      <c r="D14" s="38">
        <v>10</v>
      </c>
      <c r="E14" s="45">
        <v>10</v>
      </c>
      <c r="F14" s="15">
        <v>10</v>
      </c>
      <c r="G14" s="15">
        <v>10</v>
      </c>
      <c r="H14" s="15">
        <v>7</v>
      </c>
      <c r="I14" s="15">
        <v>1</v>
      </c>
      <c r="J14" s="15">
        <v>0</v>
      </c>
      <c r="K14" s="46"/>
    </row>
    <row r="15" spans="1:88" x14ac:dyDescent="0.15">
      <c r="A15" s="19"/>
      <c r="B15" s="20"/>
      <c r="C15" s="37"/>
      <c r="D15" s="34"/>
      <c r="E15" s="17"/>
      <c r="F15" s="15"/>
      <c r="G15" s="15"/>
      <c r="H15" s="15"/>
      <c r="I15" s="15"/>
      <c r="J15" s="15"/>
      <c r="K15" s="46"/>
    </row>
    <row r="16" spans="1:88" x14ac:dyDescent="0.15">
      <c r="A16" s="21"/>
      <c r="B16" s="22"/>
      <c r="C16" s="23"/>
      <c r="D16" s="48">
        <f t="shared" ref="D16:J16" si="0">SUM(D7:D15)</f>
        <v>84</v>
      </c>
      <c r="E16" s="48">
        <f t="shared" si="0"/>
        <v>81</v>
      </c>
      <c r="F16" s="48">
        <f t="shared" si="0"/>
        <v>73</v>
      </c>
      <c r="G16" s="48">
        <f t="shared" si="0"/>
        <v>63</v>
      </c>
      <c r="H16" s="48">
        <f t="shared" si="0"/>
        <v>48</v>
      </c>
      <c r="I16" s="48">
        <f t="shared" si="0"/>
        <v>24</v>
      </c>
      <c r="J16" s="48">
        <f t="shared" si="0"/>
        <v>0</v>
      </c>
      <c r="K16" s="64" t="s">
        <v>37</v>
      </c>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row>
    <row r="17" spans="1:92" x14ac:dyDescent="0.15">
      <c r="A17" s="21"/>
      <c r="B17" s="22"/>
      <c r="C17" s="24"/>
      <c r="D17" s="25" t="s">
        <v>40</v>
      </c>
      <c r="E17" s="58">
        <f>'system sheet'!G10</f>
        <v>84.444444444444443</v>
      </c>
      <c r="F17" s="58">
        <f>'system sheet'!H10</f>
        <v>67.555555555555557</v>
      </c>
      <c r="G17" s="58">
        <f>'system sheet'!I10</f>
        <v>50.666666666666657</v>
      </c>
      <c r="H17" s="58">
        <f>'system sheet'!J10</f>
        <v>33.777777777777771</v>
      </c>
      <c r="I17" s="58">
        <f>'system sheet'!K10</f>
        <v>16.888888888888886</v>
      </c>
      <c r="J17" s="58">
        <f>'system sheet'!L10</f>
        <v>0</v>
      </c>
      <c r="K17" s="65">
        <v>0</v>
      </c>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row>
    <row r="18" spans="1:92" x14ac:dyDescent="0.15">
      <c r="A18" s="21"/>
      <c r="B18" s="22"/>
      <c r="C18" s="24"/>
      <c r="D18" s="26"/>
      <c r="E18" s="27"/>
      <c r="F18" s="12"/>
      <c r="G18" s="12"/>
      <c r="H18" s="12"/>
      <c r="I18" s="12"/>
      <c r="J18" s="12"/>
      <c r="K18" s="12"/>
      <c r="L18" s="12"/>
      <c r="M18" s="12"/>
      <c r="N18" s="12"/>
      <c r="O18" s="63"/>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66"/>
      <c r="B19" s="67"/>
      <c r="C19" s="63"/>
      <c r="D19" s="68"/>
      <c r="E19" s="69"/>
      <c r="F19" s="63"/>
      <c r="G19" s="63"/>
      <c r="H19" s="63"/>
      <c r="I19" s="63"/>
      <c r="J19" s="63"/>
      <c r="K19" s="63"/>
      <c r="L19" s="63"/>
      <c r="M19" s="63"/>
      <c r="N19" s="63"/>
      <c r="O19" s="63"/>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66"/>
      <c r="B20" s="70"/>
      <c r="C20" s="63"/>
      <c r="D20" s="68"/>
      <c r="E20" s="69"/>
      <c r="F20" s="63"/>
      <c r="G20" s="63"/>
      <c r="H20" s="63"/>
      <c r="I20" s="63"/>
      <c r="J20" s="63"/>
      <c r="K20" s="63"/>
      <c r="L20" s="63"/>
      <c r="M20" s="63"/>
      <c r="N20" s="63"/>
      <c r="O20" s="63"/>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66"/>
      <c r="B21" s="70"/>
      <c r="C21" s="63"/>
      <c r="D21" s="68"/>
      <c r="E21" s="69"/>
      <c r="F21" s="63"/>
      <c r="G21" s="63"/>
      <c r="H21" s="63"/>
      <c r="I21" s="63"/>
      <c r="J21" s="63"/>
      <c r="K21" s="63"/>
      <c r="L21" s="63"/>
      <c r="M21" s="63"/>
      <c r="N21" s="63"/>
      <c r="O21" s="63"/>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66"/>
      <c r="B22" s="70"/>
      <c r="C22" s="63"/>
      <c r="D22" s="68"/>
      <c r="E22" s="69"/>
      <c r="F22" s="63"/>
      <c r="G22" s="63"/>
      <c r="H22" s="63"/>
      <c r="I22" s="63"/>
      <c r="J22" s="63"/>
      <c r="K22" s="63"/>
      <c r="L22" s="63"/>
      <c r="M22" s="63"/>
      <c r="N22" s="63"/>
      <c r="O22" s="63"/>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66"/>
      <c r="B23" s="70"/>
      <c r="C23" s="63"/>
      <c r="D23" s="68"/>
      <c r="E23" s="69"/>
      <c r="F23" s="63"/>
      <c r="G23" s="63"/>
      <c r="H23" s="63"/>
      <c r="I23" s="63"/>
      <c r="J23" s="63"/>
      <c r="K23" s="63"/>
      <c r="L23" s="63"/>
      <c r="M23" s="63"/>
      <c r="N23" s="63"/>
      <c r="O23" s="63"/>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66"/>
      <c r="B24" s="70"/>
      <c r="C24" s="63"/>
      <c r="D24" s="68"/>
      <c r="E24" s="69"/>
      <c r="F24" s="63"/>
      <c r="G24" s="63"/>
      <c r="H24" s="63"/>
      <c r="I24" s="63"/>
      <c r="J24" s="63"/>
      <c r="K24" s="63"/>
      <c r="L24" s="63"/>
      <c r="M24" s="63"/>
      <c r="N24" s="63"/>
      <c r="O24" s="63"/>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66"/>
      <c r="B25" s="70"/>
      <c r="C25" s="63"/>
      <c r="D25" s="68"/>
      <c r="E25" s="69"/>
      <c r="F25" s="63"/>
      <c r="G25" s="63"/>
      <c r="H25" s="63"/>
      <c r="I25" s="63"/>
      <c r="J25" s="63"/>
      <c r="K25" s="63"/>
      <c r="L25" s="63"/>
      <c r="M25" s="63"/>
      <c r="N25" s="63"/>
      <c r="O25" s="63"/>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66"/>
      <c r="B26" s="70"/>
      <c r="C26" s="63"/>
      <c r="D26" s="68"/>
      <c r="E26" s="69"/>
      <c r="F26" s="63"/>
      <c r="G26" s="63"/>
      <c r="H26" s="63"/>
      <c r="I26" s="63"/>
      <c r="J26" s="63"/>
      <c r="K26" s="63"/>
      <c r="L26" s="63"/>
      <c r="M26" s="63"/>
      <c r="N26" s="63"/>
      <c r="O26" s="63"/>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66"/>
      <c r="B27" s="70"/>
      <c r="C27" s="63"/>
      <c r="D27" s="68"/>
      <c r="E27" s="69"/>
      <c r="F27" s="63"/>
      <c r="G27" s="63"/>
      <c r="H27" s="63"/>
      <c r="I27" s="63"/>
      <c r="J27" s="63"/>
      <c r="K27" s="63"/>
      <c r="L27" s="63"/>
      <c r="M27" s="63"/>
      <c r="N27" s="63"/>
      <c r="O27" s="63"/>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66"/>
      <c r="B28" s="70"/>
      <c r="C28" s="63"/>
      <c r="D28" s="68"/>
      <c r="E28" s="69"/>
      <c r="F28" s="63"/>
      <c r="G28" s="63"/>
      <c r="H28" s="63"/>
      <c r="I28" s="63"/>
      <c r="J28" s="63"/>
      <c r="K28" s="63"/>
      <c r="L28" s="63"/>
      <c r="M28" s="63"/>
      <c r="N28" s="63"/>
      <c r="O28" s="63"/>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66"/>
      <c r="B29" s="70"/>
      <c r="C29" s="63"/>
      <c r="D29" s="68"/>
      <c r="E29" s="69"/>
      <c r="F29" s="63"/>
      <c r="G29" s="63"/>
      <c r="H29" s="63"/>
      <c r="I29" s="63"/>
      <c r="J29" s="63"/>
      <c r="K29" s="63"/>
      <c r="L29" s="63"/>
      <c r="M29" s="63"/>
      <c r="N29" s="63"/>
      <c r="O29" s="63"/>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66"/>
      <c r="B30" s="70"/>
      <c r="C30" s="63"/>
      <c r="D30" s="68"/>
      <c r="E30" s="69"/>
      <c r="F30" s="63"/>
      <c r="G30" s="63"/>
      <c r="H30" s="63"/>
      <c r="I30" s="63"/>
      <c r="J30" s="63"/>
      <c r="K30" s="63"/>
      <c r="L30" s="63"/>
      <c r="M30" s="63"/>
      <c r="N30" s="63"/>
      <c r="O30" s="63"/>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66"/>
      <c r="B31" s="70"/>
      <c r="C31" s="63"/>
      <c r="D31" s="68"/>
      <c r="E31" s="69"/>
      <c r="F31" s="63"/>
      <c r="G31" s="63"/>
      <c r="H31" s="63"/>
      <c r="I31" s="63"/>
      <c r="J31" s="63"/>
      <c r="K31" s="63"/>
      <c r="L31" s="63"/>
      <c r="M31" s="63"/>
      <c r="N31" s="63"/>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66"/>
      <c r="B32" s="70"/>
      <c r="C32" s="63"/>
      <c r="D32" s="68"/>
      <c r="E32" s="69"/>
      <c r="F32" s="63"/>
      <c r="G32" s="63"/>
      <c r="H32" s="63"/>
      <c r="I32" s="63"/>
      <c r="J32" s="63"/>
      <c r="K32" s="63"/>
      <c r="L32" s="63"/>
      <c r="M32" s="63"/>
      <c r="N32" s="63"/>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66"/>
      <c r="B33" s="70"/>
      <c r="C33" s="63"/>
      <c r="D33" s="68"/>
      <c r="E33" s="69"/>
      <c r="F33" s="63"/>
      <c r="G33" s="63"/>
      <c r="H33" s="63"/>
      <c r="I33" s="63"/>
      <c r="J33" s="63"/>
      <c r="K33" s="63"/>
      <c r="L33" s="63"/>
      <c r="M33" s="63"/>
      <c r="N33" s="63"/>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66"/>
      <c r="B34" s="70"/>
      <c r="C34" s="63"/>
      <c r="D34" s="68"/>
      <c r="E34" s="69"/>
      <c r="F34" s="63"/>
      <c r="G34" s="63"/>
      <c r="H34" s="63"/>
      <c r="I34" s="63"/>
      <c r="J34" s="63"/>
      <c r="K34" s="63"/>
      <c r="L34" s="63"/>
      <c r="M34" s="63"/>
      <c r="N34" s="63"/>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66"/>
      <c r="B35" s="70"/>
      <c r="C35" s="63"/>
      <c r="D35" s="68"/>
      <c r="E35" s="69"/>
      <c r="F35" s="63"/>
      <c r="G35" s="63"/>
      <c r="H35" s="63"/>
      <c r="I35" s="63"/>
      <c r="J35" s="63"/>
      <c r="K35" s="63"/>
      <c r="L35" s="63"/>
      <c r="M35" s="63"/>
      <c r="N35" s="63"/>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66"/>
      <c r="B36" s="70"/>
      <c r="C36" s="63"/>
      <c r="D36" s="68"/>
      <c r="E36" s="69"/>
      <c r="F36" s="63"/>
      <c r="G36" s="63"/>
      <c r="H36" s="63"/>
      <c r="I36" s="63"/>
      <c r="J36" s="63"/>
      <c r="K36" s="63"/>
      <c r="L36" s="63"/>
      <c r="M36" s="63"/>
      <c r="N36" s="63"/>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66"/>
      <c r="B37" s="70"/>
      <c r="C37" s="63"/>
      <c r="D37" s="68"/>
      <c r="E37" s="69"/>
      <c r="F37" s="63"/>
      <c r="G37" s="63"/>
      <c r="H37" s="63"/>
      <c r="I37" s="63"/>
      <c r="J37" s="63"/>
      <c r="K37" s="63"/>
      <c r="L37" s="63"/>
      <c r="M37" s="63"/>
      <c r="N37" s="63"/>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66"/>
      <c r="B38" s="70"/>
      <c r="C38" s="63"/>
      <c r="D38" s="68"/>
      <c r="E38" s="63"/>
      <c r="F38" s="46"/>
      <c r="G38" s="46"/>
      <c r="H38" s="46"/>
      <c r="I38" s="46"/>
      <c r="J38" s="46"/>
      <c r="K38" s="46"/>
      <c r="L38" s="46"/>
      <c r="M38" s="46"/>
      <c r="N38" s="46"/>
      <c r="O38" s="46"/>
    </row>
    <row r="39" spans="1:92" x14ac:dyDescent="0.15">
      <c r="A39" s="66"/>
      <c r="B39" s="63"/>
      <c r="C39" s="63"/>
      <c r="D39" s="68"/>
      <c r="E39" s="46"/>
      <c r="F39" s="46"/>
      <c r="G39" s="46"/>
      <c r="H39" s="46"/>
      <c r="I39" s="46"/>
      <c r="J39" s="46"/>
      <c r="K39" s="46"/>
      <c r="L39" s="46"/>
      <c r="M39" s="46"/>
      <c r="N39" s="46"/>
      <c r="O39" s="46"/>
    </row>
    <row r="40" spans="1:92" x14ac:dyDescent="0.15">
      <c r="A40" s="66"/>
      <c r="B40" s="63"/>
      <c r="C40" s="63"/>
      <c r="D40" s="63"/>
      <c r="E40" s="46"/>
      <c r="F40" s="46"/>
      <c r="G40" s="46"/>
      <c r="H40" s="46"/>
      <c r="I40" s="46"/>
      <c r="J40" s="46"/>
      <c r="K40" s="46"/>
      <c r="L40" s="46"/>
      <c r="M40" s="46"/>
      <c r="N40" s="46"/>
      <c r="O40" s="46"/>
    </row>
    <row r="41" spans="1:92" x14ac:dyDescent="0.15">
      <c r="A41" s="66"/>
      <c r="B41" s="63"/>
      <c r="C41" s="63"/>
      <c r="D41" s="63"/>
      <c r="E41" s="46"/>
      <c r="F41" s="46"/>
      <c r="G41" s="46"/>
      <c r="H41" s="46"/>
      <c r="I41" s="46"/>
      <c r="J41" s="46"/>
      <c r="K41" s="46"/>
      <c r="L41" s="46"/>
      <c r="M41" s="46"/>
      <c r="N41" s="46"/>
      <c r="O41" s="46"/>
    </row>
    <row r="42" spans="1:92" x14ac:dyDescent="0.15">
      <c r="A42" s="66"/>
      <c r="B42" s="63"/>
      <c r="C42" s="63"/>
      <c r="D42" s="63"/>
      <c r="E42" s="46"/>
      <c r="F42" s="46"/>
      <c r="G42" s="46"/>
      <c r="H42" s="46"/>
      <c r="I42" s="46"/>
      <c r="J42" s="46"/>
      <c r="K42" s="46"/>
      <c r="L42" s="46"/>
      <c r="M42" s="46"/>
      <c r="N42" s="46"/>
      <c r="O42" s="46"/>
    </row>
    <row r="43" spans="1:92" x14ac:dyDescent="0.15">
      <c r="A43" s="66"/>
      <c r="B43" s="63"/>
      <c r="C43" s="63"/>
      <c r="D43" s="63"/>
      <c r="E43" s="46"/>
      <c r="F43" s="46"/>
      <c r="G43" s="46"/>
      <c r="H43" s="46"/>
      <c r="I43" s="46"/>
      <c r="J43" s="46"/>
      <c r="K43" s="46"/>
      <c r="L43" s="46"/>
      <c r="M43" s="46"/>
      <c r="N43" s="46"/>
      <c r="O43" s="46"/>
    </row>
    <row r="44" spans="1:92" x14ac:dyDescent="0.15">
      <c r="A44" s="66"/>
      <c r="B44" s="63"/>
      <c r="C44" s="63"/>
      <c r="D44" s="63"/>
      <c r="E44" s="46"/>
      <c r="F44" s="46"/>
      <c r="G44" s="46"/>
      <c r="H44" s="46"/>
      <c r="I44" s="46"/>
      <c r="J44" s="46"/>
      <c r="K44" s="46"/>
      <c r="L44" s="46"/>
      <c r="M44" s="46"/>
      <c r="N44" s="46"/>
      <c r="O44" s="46"/>
    </row>
    <row r="45" spans="1:92" x14ac:dyDescent="0.15">
      <c r="A45" s="66"/>
      <c r="B45" s="63"/>
      <c r="C45" s="63"/>
      <c r="D45" s="63"/>
      <c r="E45" s="46"/>
      <c r="F45" s="46"/>
      <c r="G45" s="46"/>
      <c r="H45" s="46"/>
      <c r="I45" s="46"/>
      <c r="J45" s="46"/>
      <c r="K45" s="46"/>
      <c r="L45" s="46"/>
      <c r="M45" s="46"/>
      <c r="N45" s="46"/>
      <c r="O45" s="46"/>
    </row>
    <row r="46" spans="1:92" x14ac:dyDescent="0.15">
      <c r="A46" s="71"/>
      <c r="B46" s="63"/>
      <c r="C46" s="63"/>
      <c r="D46" s="63"/>
      <c r="E46" s="46"/>
      <c r="F46" s="46"/>
      <c r="G46" s="46"/>
      <c r="H46" s="46"/>
      <c r="I46" s="46"/>
      <c r="J46" s="46"/>
      <c r="K46" s="46"/>
      <c r="L46" s="46"/>
      <c r="M46" s="46"/>
      <c r="N46" s="46"/>
      <c r="O46" s="46"/>
    </row>
    <row r="47" spans="1:92" x14ac:dyDescent="0.15">
      <c r="A47" s="71"/>
      <c r="B47" s="63"/>
      <c r="C47" s="63"/>
      <c r="D47" s="63"/>
      <c r="E47" s="46"/>
      <c r="F47" s="46"/>
      <c r="G47" s="46"/>
      <c r="H47" s="46"/>
      <c r="I47" s="46"/>
      <c r="J47" s="46"/>
      <c r="K47" s="46"/>
      <c r="L47" s="46"/>
      <c r="M47" s="46"/>
      <c r="N47" s="46"/>
      <c r="O47" s="46"/>
    </row>
    <row r="48" spans="1:92" x14ac:dyDescent="0.15">
      <c r="A48" s="63"/>
      <c r="B48" s="63"/>
      <c r="C48" s="63"/>
      <c r="D48" s="63"/>
      <c r="E48" s="46"/>
      <c r="F48" s="46"/>
      <c r="G48" s="46"/>
      <c r="H48" s="46"/>
      <c r="I48" s="46"/>
      <c r="J48" s="46"/>
      <c r="K48" s="46"/>
      <c r="L48" s="46"/>
      <c r="M48" s="46"/>
      <c r="N48" s="46"/>
      <c r="O48" s="46"/>
    </row>
    <row r="49" spans="1:15" x14ac:dyDescent="0.15">
      <c r="A49" s="63"/>
      <c r="B49" s="63"/>
      <c r="C49" s="63"/>
      <c r="D49" s="63"/>
      <c r="E49" s="46"/>
      <c r="F49" s="46"/>
      <c r="G49" s="46"/>
      <c r="H49" s="46"/>
      <c r="I49" s="46"/>
      <c r="J49" s="46"/>
      <c r="K49" s="46"/>
      <c r="L49" s="46"/>
      <c r="M49" s="46"/>
      <c r="N49" s="46"/>
      <c r="O49" s="46"/>
    </row>
    <row r="50" spans="1:15" x14ac:dyDescent="0.15">
      <c r="A50" s="63"/>
      <c r="B50" s="63"/>
      <c r="C50" s="63"/>
      <c r="D50" s="63"/>
      <c r="E50" s="46"/>
      <c r="F50" s="46"/>
      <c r="G50" s="46"/>
      <c r="H50" s="46"/>
      <c r="I50" s="46"/>
      <c r="J50" s="46"/>
      <c r="K50" s="46"/>
      <c r="L50" s="46"/>
      <c r="M50" s="46"/>
      <c r="N50" s="46"/>
      <c r="O50" s="46"/>
    </row>
    <row r="51" spans="1:15" x14ac:dyDescent="0.15">
      <c r="A51" s="63"/>
      <c r="B51" s="63"/>
      <c r="C51" s="63"/>
      <c r="D51" s="63"/>
      <c r="E51" s="46"/>
      <c r="F51" s="46"/>
      <c r="G51" s="46"/>
      <c r="H51" s="46"/>
      <c r="I51" s="46"/>
      <c r="J51" s="46"/>
      <c r="K51" s="46"/>
      <c r="L51" s="46"/>
      <c r="M51" s="46"/>
      <c r="N51" s="46"/>
      <c r="O51" s="46"/>
    </row>
    <row r="52" spans="1:15" x14ac:dyDescent="0.15">
      <c r="A52" s="63"/>
      <c r="B52" s="63"/>
      <c r="C52" s="63"/>
      <c r="D52" s="63"/>
      <c r="E52" s="46"/>
      <c r="F52" s="46"/>
      <c r="G52" s="46"/>
      <c r="H52" s="46"/>
      <c r="I52" s="46"/>
      <c r="J52" s="46"/>
      <c r="K52" s="46"/>
      <c r="L52" s="46"/>
      <c r="M52" s="46"/>
      <c r="N52" s="46"/>
      <c r="O52" s="46"/>
    </row>
    <row r="53" spans="1:15" x14ac:dyDescent="0.15">
      <c r="A53" s="63"/>
      <c r="B53" s="63"/>
      <c r="C53" s="63"/>
      <c r="D53" s="63"/>
      <c r="E53" s="46"/>
      <c r="F53" s="46"/>
      <c r="G53" s="46"/>
      <c r="H53" s="46"/>
      <c r="I53" s="46"/>
      <c r="J53" s="46"/>
      <c r="K53" s="46"/>
      <c r="L53" s="46"/>
      <c r="M53" s="46"/>
      <c r="N53" s="46"/>
      <c r="O53" s="46"/>
    </row>
    <row r="54" spans="1:15" x14ac:dyDescent="0.15">
      <c r="A54" s="63"/>
      <c r="B54" s="63"/>
      <c r="C54" s="63"/>
      <c r="D54" s="63"/>
      <c r="E54" s="46"/>
      <c r="F54" s="46"/>
      <c r="G54" s="46"/>
      <c r="H54" s="46"/>
      <c r="I54" s="46"/>
      <c r="J54" s="46"/>
      <c r="K54" s="46"/>
      <c r="L54" s="46"/>
      <c r="M54" s="46"/>
      <c r="N54" s="46"/>
      <c r="O54" s="46"/>
    </row>
    <row r="55" spans="1:15" x14ac:dyDescent="0.15">
      <c r="A55" s="63"/>
      <c r="B55" s="63"/>
      <c r="C55" s="63"/>
      <c r="D55" s="63"/>
      <c r="E55" s="46"/>
      <c r="F55" s="46"/>
      <c r="G55" s="46"/>
      <c r="H55" s="46"/>
      <c r="I55" s="46"/>
      <c r="J55" s="46"/>
      <c r="K55" s="46"/>
      <c r="L55" s="46"/>
      <c r="M55" s="46"/>
      <c r="N55" s="46"/>
      <c r="O55" s="46"/>
    </row>
    <row r="56" spans="1:15" x14ac:dyDescent="0.15">
      <c r="A56" s="63"/>
      <c r="B56" s="63"/>
      <c r="C56" s="63"/>
      <c r="D56" s="63"/>
      <c r="E56" s="46"/>
      <c r="F56" s="46"/>
      <c r="G56" s="46"/>
      <c r="H56" s="46"/>
      <c r="I56" s="46"/>
      <c r="J56" s="46"/>
      <c r="K56" s="46"/>
      <c r="L56" s="46"/>
      <c r="M56" s="46"/>
      <c r="N56" s="46"/>
      <c r="O56" s="46"/>
    </row>
    <row r="57" spans="1:15" x14ac:dyDescent="0.15">
      <c r="A57" s="63"/>
      <c r="B57" s="63"/>
      <c r="C57" s="63"/>
      <c r="D57" s="63"/>
      <c r="E57" s="46"/>
      <c r="F57" s="46"/>
      <c r="G57" s="46"/>
      <c r="H57" s="46"/>
      <c r="I57" s="46"/>
      <c r="J57" s="46"/>
      <c r="K57" s="46"/>
      <c r="L57" s="46"/>
      <c r="M57" s="46"/>
      <c r="N57" s="46"/>
      <c r="O57" s="46"/>
    </row>
    <row r="58" spans="1:15" x14ac:dyDescent="0.15">
      <c r="A58" s="63"/>
      <c r="B58" s="63"/>
      <c r="C58" s="63"/>
      <c r="D58" s="63"/>
      <c r="E58" s="46"/>
      <c r="F58" s="46"/>
      <c r="G58" s="46"/>
      <c r="H58" s="46"/>
      <c r="I58" s="46"/>
      <c r="J58" s="46"/>
      <c r="K58" s="46"/>
      <c r="L58" s="46"/>
      <c r="M58" s="46"/>
      <c r="N58" s="46"/>
      <c r="O58" s="46"/>
    </row>
    <row r="59" spans="1:15" x14ac:dyDescent="0.15">
      <c r="A59" s="63"/>
      <c r="B59" s="63"/>
      <c r="C59" s="63"/>
      <c r="D59" s="63"/>
      <c r="E59" s="46"/>
      <c r="F59" s="46"/>
      <c r="G59" s="46"/>
      <c r="H59" s="46"/>
      <c r="I59" s="46"/>
      <c r="J59" s="46"/>
      <c r="K59" s="46"/>
      <c r="L59" s="46"/>
      <c r="M59" s="46"/>
      <c r="N59" s="46"/>
      <c r="O59" s="46"/>
    </row>
    <row r="60" spans="1:15" x14ac:dyDescent="0.15">
      <c r="A60" s="63"/>
      <c r="B60" s="63"/>
      <c r="C60" s="63"/>
      <c r="D60" s="63"/>
      <c r="E60" s="46"/>
      <c r="F60" s="46"/>
      <c r="G60" s="46"/>
      <c r="H60" s="46"/>
      <c r="I60" s="46"/>
      <c r="J60" s="46"/>
      <c r="K60" s="46"/>
      <c r="L60" s="46"/>
      <c r="M60" s="46"/>
      <c r="N60" s="46"/>
      <c r="O60" s="46"/>
    </row>
    <row r="61" spans="1:15" x14ac:dyDescent="0.15">
      <c r="A61" s="63"/>
      <c r="B61" s="63"/>
      <c r="C61" s="63"/>
      <c r="D61" s="63"/>
      <c r="E61" s="46"/>
      <c r="F61" s="46"/>
      <c r="G61" s="46"/>
      <c r="H61" s="46"/>
      <c r="I61" s="46"/>
      <c r="J61" s="46"/>
      <c r="K61" s="46"/>
      <c r="L61" s="46"/>
      <c r="M61" s="46"/>
      <c r="N61" s="46"/>
      <c r="O61" s="46"/>
    </row>
    <row r="62" spans="1:15" x14ac:dyDescent="0.15">
      <c r="A62" s="63"/>
      <c r="B62" s="63"/>
      <c r="C62" s="63"/>
      <c r="D62" s="63"/>
      <c r="E62" s="46"/>
      <c r="F62" s="46"/>
      <c r="G62" s="46"/>
      <c r="H62" s="46"/>
      <c r="I62" s="46"/>
      <c r="J62" s="46"/>
      <c r="K62" s="46"/>
      <c r="L62" s="46"/>
      <c r="M62" s="46"/>
      <c r="N62" s="46"/>
      <c r="O62" s="46"/>
    </row>
    <row r="63" spans="1:15" x14ac:dyDescent="0.15">
      <c r="A63" s="63"/>
      <c r="B63" s="63"/>
      <c r="C63" s="63"/>
      <c r="D63" s="63"/>
      <c r="E63" s="46"/>
      <c r="F63" s="46"/>
      <c r="G63" s="46"/>
      <c r="H63" s="46"/>
      <c r="I63" s="46"/>
      <c r="J63" s="46"/>
      <c r="K63" s="46"/>
      <c r="L63" s="46"/>
      <c r="M63" s="46"/>
      <c r="N63" s="46"/>
      <c r="O63" s="46"/>
    </row>
    <row r="64" spans="1:15" x14ac:dyDescent="0.15">
      <c r="A64" s="63"/>
      <c r="B64" s="63"/>
      <c r="C64" s="63"/>
      <c r="D64" s="63"/>
      <c r="E64" s="46"/>
      <c r="F64" s="46"/>
      <c r="G64" s="46"/>
      <c r="H64" s="46"/>
      <c r="I64" s="46"/>
      <c r="J64" s="46"/>
      <c r="K64" s="46"/>
      <c r="L64" s="46"/>
      <c r="M64" s="46"/>
      <c r="N64" s="46"/>
      <c r="O64" s="46"/>
    </row>
    <row r="65" spans="1:15" x14ac:dyDescent="0.15">
      <c r="A65" s="63"/>
      <c r="B65" s="63"/>
      <c r="C65" s="63"/>
      <c r="D65" s="63"/>
      <c r="E65" s="46"/>
      <c r="F65" s="46"/>
      <c r="G65" s="46"/>
      <c r="H65" s="46"/>
      <c r="I65" s="46"/>
      <c r="J65" s="46"/>
      <c r="K65" s="46"/>
      <c r="L65" s="46"/>
      <c r="M65" s="46"/>
      <c r="N65" s="46"/>
      <c r="O65" s="46"/>
    </row>
    <row r="66" spans="1:15" x14ac:dyDescent="0.15">
      <c r="A66" s="63"/>
      <c r="B66" s="63"/>
      <c r="C66" s="63"/>
      <c r="D66" s="63"/>
      <c r="E66" s="46"/>
      <c r="F66" s="46"/>
      <c r="G66" s="46"/>
      <c r="H66" s="46"/>
      <c r="I66" s="46"/>
      <c r="J66" s="46"/>
      <c r="K66" s="46"/>
      <c r="L66" s="46"/>
      <c r="M66" s="46"/>
      <c r="N66" s="46"/>
      <c r="O66" s="46"/>
    </row>
    <row r="67" spans="1:15" x14ac:dyDescent="0.15">
      <c r="A67" s="63"/>
      <c r="B67" s="63"/>
      <c r="C67" s="63"/>
      <c r="D67" s="63"/>
      <c r="E67" s="46"/>
      <c r="F67" s="46"/>
      <c r="G67" s="46"/>
      <c r="H67" s="46"/>
      <c r="I67" s="46"/>
      <c r="J67" s="46"/>
      <c r="K67" s="46"/>
      <c r="L67" s="46"/>
      <c r="M67" s="46"/>
      <c r="N67" s="46"/>
      <c r="O67" s="46"/>
    </row>
    <row r="68" spans="1:15" x14ac:dyDescent="0.15">
      <c r="A68" s="63"/>
      <c r="B68" s="63"/>
      <c r="C68" s="63"/>
      <c r="D68" s="63"/>
      <c r="E68" s="46"/>
      <c r="F68" s="46"/>
      <c r="G68" s="46"/>
      <c r="H68" s="46"/>
      <c r="I68" s="46"/>
      <c r="J68" s="46"/>
      <c r="K68" s="46"/>
      <c r="L68" s="46"/>
      <c r="M68" s="46"/>
      <c r="N68" s="46"/>
      <c r="O68" s="46"/>
    </row>
    <row r="69" spans="1:15" x14ac:dyDescent="0.15">
      <c r="A69" s="63"/>
      <c r="B69" s="63"/>
      <c r="C69" s="63"/>
      <c r="D69" s="63"/>
      <c r="E69" s="46"/>
      <c r="F69" s="46"/>
      <c r="G69" s="46"/>
      <c r="H69" s="46"/>
      <c r="I69" s="46"/>
      <c r="J69" s="46"/>
      <c r="K69" s="46"/>
      <c r="L69" s="46"/>
      <c r="M69" s="46"/>
      <c r="N69" s="46"/>
      <c r="O69" s="46"/>
    </row>
    <row r="70" spans="1:15" x14ac:dyDescent="0.15">
      <c r="A70" s="24"/>
      <c r="B70" s="24"/>
      <c r="C70" s="24"/>
      <c r="D70" s="24"/>
    </row>
    <row r="71" spans="1:15" x14ac:dyDescent="0.15">
      <c r="A71" s="24"/>
      <c r="B71" s="24"/>
      <c r="C71" s="24"/>
      <c r="D71" s="24"/>
    </row>
    <row r="72" spans="1:15" x14ac:dyDescent="0.15">
      <c r="A72" s="24"/>
      <c r="B72" s="24"/>
      <c r="C72" s="24"/>
      <c r="D72" s="24"/>
    </row>
    <row r="73" spans="1:15" x14ac:dyDescent="0.15">
      <c r="A73" s="24"/>
      <c r="B73" s="24"/>
      <c r="C73" s="24"/>
      <c r="D73" s="24"/>
    </row>
    <row r="74" spans="1:15" x14ac:dyDescent="0.15">
      <c r="A74" s="24"/>
      <c r="B74" s="24"/>
      <c r="C74" s="24"/>
      <c r="D74" s="24"/>
    </row>
    <row r="75" spans="1:15" x14ac:dyDescent="0.15">
      <c r="A75" s="24"/>
      <c r="B75" s="24"/>
      <c r="C75" s="24"/>
      <c r="D75" s="24"/>
    </row>
    <row r="76" spans="1:15" x14ac:dyDescent="0.15">
      <c r="A76" s="24"/>
      <c r="B76" s="24"/>
      <c r="C76" s="24"/>
      <c r="D76" s="24"/>
    </row>
    <row r="77" spans="1:15" x14ac:dyDescent="0.15">
      <c r="A77" s="24"/>
      <c r="B77" s="24"/>
      <c r="C77" s="24"/>
      <c r="D77" s="24"/>
    </row>
    <row r="79" spans="1:15" ht="14.25" customHeight="1" x14ac:dyDescent="0.15"/>
  </sheetData>
  <autoFilter ref="A6:E16"/>
  <mergeCells count="2">
    <mergeCell ref="F1:N1"/>
    <mergeCell ref="D4:N4"/>
  </mergeCells>
  <pageMargins left="0.4" right="0.39" top="0.65" bottom="0.56000000000000005" header="0.22" footer="0.5"/>
  <pageSetup paperSize="9" scale="97" orientation="landscape" r:id="rId1"/>
  <headerFooter alignWithMargins="0"/>
  <ignoredErrors>
    <ignoredError sqref="A7 A8:A14"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46" customWidth="1"/>
    <col min="2" max="2" width="18.5" style="46" customWidth="1"/>
    <col min="3" max="16384" width="9.1640625" style="46"/>
  </cols>
  <sheetData>
    <row r="1" spans="1:14" ht="14" thickBot="1" x14ac:dyDescent="0.2"/>
    <row r="2" spans="1:14" ht="24" thickBot="1" x14ac:dyDescent="0.45">
      <c r="B2" s="113" t="s">
        <v>42</v>
      </c>
      <c r="C2" s="114"/>
      <c r="D2" s="114"/>
      <c r="E2" s="114"/>
      <c r="F2" s="114"/>
      <c r="G2" s="114"/>
      <c r="H2" s="114"/>
      <c r="I2" s="114"/>
      <c r="J2" s="114"/>
      <c r="K2" s="114"/>
      <c r="L2" s="115"/>
    </row>
    <row r="3" spans="1:14" x14ac:dyDescent="0.15">
      <c r="B3" s="73"/>
    </row>
    <row r="5" spans="1:14" x14ac:dyDescent="0.15">
      <c r="C5" s="74" t="s">
        <v>9</v>
      </c>
      <c r="D5" s="74" t="s">
        <v>10</v>
      </c>
      <c r="E5" s="74" t="s">
        <v>4</v>
      </c>
      <c r="F5" s="74" t="s">
        <v>5</v>
      </c>
      <c r="G5" s="74" t="s">
        <v>6</v>
      </c>
      <c r="H5" s="74" t="s">
        <v>7</v>
      </c>
    </row>
    <row r="6" spans="1:14" ht="16" x14ac:dyDescent="0.2">
      <c r="A6" s="117" t="s">
        <v>44</v>
      </c>
      <c r="B6" s="117"/>
      <c r="C6" s="75">
        <f>'Sprint 1'!D3</f>
        <v>152</v>
      </c>
      <c r="D6" s="76" t="e">
        <f>#REF!</f>
        <v>#REF!</v>
      </c>
      <c r="E6" s="76"/>
      <c r="F6" s="77"/>
      <c r="G6" s="77"/>
      <c r="H6" s="77"/>
    </row>
    <row r="7" spans="1:14" x14ac:dyDescent="0.15">
      <c r="B7" s="78" t="s">
        <v>8</v>
      </c>
      <c r="C7" s="79">
        <v>0</v>
      </c>
      <c r="D7" s="78">
        <v>0</v>
      </c>
      <c r="E7" s="78">
        <v>0</v>
      </c>
      <c r="F7" s="78">
        <v>0</v>
      </c>
      <c r="G7" s="78">
        <v>0</v>
      </c>
      <c r="H7" s="78">
        <v>0</v>
      </c>
    </row>
    <row r="8" spans="1:14" x14ac:dyDescent="0.15">
      <c r="C8" s="80"/>
    </row>
    <row r="9" spans="1:14" x14ac:dyDescent="0.15">
      <c r="A9" s="116" t="s">
        <v>43</v>
      </c>
      <c r="B9" s="81" t="s">
        <v>12</v>
      </c>
      <c r="C9" s="82">
        <v>0</v>
      </c>
      <c r="D9" s="83">
        <v>1</v>
      </c>
      <c r="E9" s="83">
        <v>2</v>
      </c>
      <c r="F9" s="83">
        <v>3</v>
      </c>
      <c r="G9" s="83">
        <v>4</v>
      </c>
      <c r="H9" s="83">
        <v>5</v>
      </c>
      <c r="I9" s="83">
        <v>6</v>
      </c>
      <c r="J9" s="83">
        <v>7</v>
      </c>
      <c r="K9" s="83">
        <v>8</v>
      </c>
      <c r="L9" s="83">
        <v>9</v>
      </c>
      <c r="N9" s="84" t="s">
        <v>3</v>
      </c>
    </row>
    <row r="10" spans="1:14" x14ac:dyDescent="0.15">
      <c r="A10" s="116"/>
      <c r="B10" s="85" t="s">
        <v>9</v>
      </c>
      <c r="C10" s="86">
        <f>FORECAST(C$9, $C$6:$C$7,$N$10:$N$11)</f>
        <v>152</v>
      </c>
      <c r="D10" s="86">
        <f>FORECAST(N$12, $C$6:$C$7,$N$10:$N$11)</f>
        <v>135.11111111111111</v>
      </c>
      <c r="E10" s="86">
        <f t="shared" ref="E10:L10" si="0">FORECAST(E$9, $C$6:$C$7,$N$10:$N$11)</f>
        <v>118.22222222222223</v>
      </c>
      <c r="F10" s="86">
        <f t="shared" si="0"/>
        <v>101.33333333333333</v>
      </c>
      <c r="G10" s="86">
        <f t="shared" si="0"/>
        <v>84.444444444444443</v>
      </c>
      <c r="H10" s="86">
        <f t="shared" si="0"/>
        <v>67.555555555555557</v>
      </c>
      <c r="I10" s="86">
        <f t="shared" si="0"/>
        <v>50.666666666666657</v>
      </c>
      <c r="J10" s="86">
        <f t="shared" si="0"/>
        <v>33.777777777777771</v>
      </c>
      <c r="K10" s="86">
        <f t="shared" si="0"/>
        <v>16.888888888888886</v>
      </c>
      <c r="L10" s="86">
        <f t="shared" si="0"/>
        <v>0</v>
      </c>
      <c r="N10" s="79">
        <v>0</v>
      </c>
    </row>
    <row r="11" spans="1:14" x14ac:dyDescent="0.15">
      <c r="A11" s="116"/>
      <c r="B11" s="85" t="s">
        <v>10</v>
      </c>
      <c r="C11" s="86" t="e">
        <f t="shared" ref="C11:L11" si="1">FORECAST(C$9, $D$6:$D$7,$N$10:$N$11)</f>
        <v>#REF!</v>
      </c>
      <c r="D11" s="86" t="e">
        <f t="shared" si="1"/>
        <v>#REF!</v>
      </c>
      <c r="E11" s="86" t="e">
        <f t="shared" si="1"/>
        <v>#REF!</v>
      </c>
      <c r="F11" s="86" t="e">
        <f t="shared" si="1"/>
        <v>#REF!</v>
      </c>
      <c r="G11" s="86" t="e">
        <f t="shared" si="1"/>
        <v>#REF!</v>
      </c>
      <c r="H11" s="86" t="e">
        <f t="shared" si="1"/>
        <v>#REF!</v>
      </c>
      <c r="I11" s="86" t="e">
        <f t="shared" si="1"/>
        <v>#REF!</v>
      </c>
      <c r="J11" s="86" t="e">
        <f t="shared" si="1"/>
        <v>#REF!</v>
      </c>
      <c r="K11" s="86" t="e">
        <f t="shared" si="1"/>
        <v>#REF!</v>
      </c>
      <c r="L11" s="86" t="e">
        <f t="shared" si="1"/>
        <v>#REF!</v>
      </c>
      <c r="N11" s="79">
        <v>9</v>
      </c>
    </row>
    <row r="12" spans="1:14" x14ac:dyDescent="0.15">
      <c r="A12" s="116"/>
      <c r="B12" s="85" t="s">
        <v>4</v>
      </c>
      <c r="C12" s="86"/>
      <c r="D12" s="86"/>
      <c r="E12" s="86"/>
      <c r="F12" s="86"/>
      <c r="G12" s="86"/>
      <c r="H12" s="86"/>
      <c r="I12" s="86"/>
      <c r="J12" s="86"/>
      <c r="K12" s="86"/>
      <c r="L12" s="86"/>
      <c r="N12" s="79">
        <v>1</v>
      </c>
    </row>
    <row r="13" spans="1:14" x14ac:dyDescent="0.15">
      <c r="A13" s="116"/>
      <c r="B13" s="85" t="s">
        <v>5</v>
      </c>
      <c r="C13" s="86"/>
      <c r="D13" s="86"/>
      <c r="E13" s="86"/>
      <c r="F13" s="86"/>
      <c r="G13" s="86"/>
      <c r="H13" s="86"/>
      <c r="I13" s="86"/>
      <c r="J13" s="86"/>
      <c r="K13" s="86"/>
      <c r="L13" s="86"/>
    </row>
    <row r="14" spans="1:14" x14ac:dyDescent="0.15">
      <c r="A14" s="116"/>
      <c r="B14" s="85" t="s">
        <v>6</v>
      </c>
      <c r="C14" s="86"/>
      <c r="D14" s="86"/>
      <c r="E14" s="86"/>
      <c r="F14" s="86"/>
      <c r="G14" s="86"/>
      <c r="H14" s="86"/>
      <c r="I14" s="86"/>
      <c r="J14" s="86"/>
      <c r="K14" s="86"/>
      <c r="L14" s="86"/>
    </row>
    <row r="15" spans="1:14" x14ac:dyDescent="0.15">
      <c r="A15" s="116"/>
      <c r="B15" s="85" t="s">
        <v>7</v>
      </c>
      <c r="C15" s="86"/>
      <c r="D15" s="86"/>
      <c r="E15" s="86"/>
      <c r="F15" s="86"/>
      <c r="G15" s="86"/>
      <c r="H15" s="86"/>
      <c r="I15" s="86"/>
      <c r="J15" s="86"/>
      <c r="K15" s="86"/>
      <c r="L15" s="86"/>
    </row>
    <row r="16" spans="1:14" x14ac:dyDescent="0.15">
      <c r="A16" s="116"/>
      <c r="B16" s="85"/>
      <c r="C16" s="86"/>
      <c r="D16" s="86"/>
      <c r="E16" s="86"/>
      <c r="F16" s="86"/>
      <c r="G16" s="86"/>
      <c r="H16" s="86"/>
      <c r="I16" s="86"/>
      <c r="J16" s="86"/>
      <c r="K16" s="86"/>
      <c r="L16" s="86"/>
    </row>
    <row r="17" spans="1:12" x14ac:dyDescent="0.15">
      <c r="A17" s="116"/>
      <c r="B17" s="85"/>
      <c r="C17" s="86"/>
      <c r="D17" s="86"/>
      <c r="E17" s="86"/>
      <c r="F17" s="86"/>
      <c r="G17" s="86"/>
      <c r="H17" s="86"/>
      <c r="I17" s="86"/>
      <c r="J17" s="86"/>
      <c r="K17" s="86"/>
      <c r="L17" s="86"/>
    </row>
    <row r="18" spans="1:12" x14ac:dyDescent="0.15">
      <c r="A18" s="116"/>
      <c r="B18" s="85"/>
      <c r="C18" s="86"/>
      <c r="D18" s="86"/>
      <c r="E18" s="86"/>
      <c r="F18" s="86"/>
      <c r="G18" s="86"/>
      <c r="H18" s="86"/>
      <c r="I18" s="86"/>
      <c r="J18" s="86"/>
      <c r="K18" s="86"/>
      <c r="L18" s="86"/>
    </row>
    <row r="19" spans="1:12" x14ac:dyDescent="0.15">
      <c r="A19" s="116"/>
      <c r="B19" s="85"/>
      <c r="C19" s="86"/>
      <c r="D19" s="86"/>
      <c r="E19" s="86"/>
      <c r="F19" s="86"/>
      <c r="G19" s="86"/>
      <c r="H19" s="86"/>
      <c r="I19" s="86"/>
      <c r="J19" s="86"/>
      <c r="K19" s="86"/>
      <c r="L19" s="86"/>
    </row>
    <row r="20" spans="1:12" x14ac:dyDescent="0.15">
      <c r="A20" s="116"/>
      <c r="B20" s="85"/>
      <c r="C20" s="86"/>
      <c r="D20" s="86"/>
      <c r="E20" s="86"/>
      <c r="F20" s="86"/>
      <c r="G20" s="86"/>
      <c r="H20" s="86"/>
      <c r="I20" s="86"/>
      <c r="J20" s="86"/>
      <c r="K20" s="86"/>
      <c r="L20" s="86"/>
    </row>
    <row r="21" spans="1:12" x14ac:dyDescent="0.15">
      <c r="A21" s="116"/>
      <c r="B21" s="85"/>
      <c r="C21" s="86"/>
      <c r="D21" s="86"/>
      <c r="E21" s="86"/>
      <c r="F21" s="86"/>
      <c r="G21" s="86"/>
      <c r="H21" s="86"/>
      <c r="I21" s="86"/>
      <c r="J21" s="86"/>
      <c r="K21" s="86"/>
      <c r="L21" s="86"/>
    </row>
    <row r="22" spans="1:12" x14ac:dyDescent="0.15">
      <c r="A22" s="116"/>
      <c r="B22" s="85"/>
      <c r="C22" s="86"/>
      <c r="D22" s="86"/>
      <c r="E22" s="86"/>
      <c r="F22" s="86"/>
      <c r="G22" s="86"/>
      <c r="H22" s="86"/>
      <c r="I22" s="86"/>
      <c r="J22" s="86"/>
      <c r="K22" s="86"/>
      <c r="L22" s="86"/>
    </row>
    <row r="23" spans="1:12" x14ac:dyDescent="0.15">
      <c r="A23" s="116"/>
      <c r="B23" s="85"/>
      <c r="C23" s="86"/>
      <c r="D23" s="86"/>
      <c r="E23" s="86"/>
      <c r="F23" s="86"/>
      <c r="G23" s="86"/>
      <c r="H23" s="86"/>
      <c r="I23" s="86"/>
      <c r="J23" s="86"/>
      <c r="K23" s="86"/>
      <c r="L23" s="86"/>
    </row>
    <row r="28" spans="1:12" x14ac:dyDescent="0.15">
      <c r="B28" s="47"/>
    </row>
    <row r="29" spans="1:12" x14ac:dyDescent="0.15">
      <c r="B29" s="7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Product Backlog</vt:lpstr>
      <vt:lpstr>Sprint 1</vt:lpstr>
      <vt:lpstr>Sprint 2</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2017-03-06T23:42:49Z</dcterms:modified>
</cp:coreProperties>
</file>